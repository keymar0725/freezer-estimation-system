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Z:\各物件\1.営業中物件\カ行\神戸物産\ホイップクリーム\2.設計\"/>
    </mc:Choice>
  </mc:AlternateContent>
  <xr:revisionPtr revIDLastSave="0" documentId="13_ncr:1_{326477CB-7D01-4583-A6F0-56FD3D0F3496}" xr6:coauthVersionLast="47" xr6:coauthVersionMax="47" xr10:uidLastSave="{00000000-0000-0000-0000-000000000000}"/>
  <bookViews>
    <workbookView xWindow="-28920" yWindow="-120" windowWidth="29040" windowHeight="15720" activeTab="1" xr2:uid="{E9DDA7EE-13B4-4768-B84C-A3A8688EFBDB}"/>
  </bookViews>
  <sheets>
    <sheet name="原本" sheetId="13" r:id="rId1"/>
    <sheet name="ホイップクリーム凍結庫設置工事" sheetId="14" r:id="rId2"/>
  </sheets>
  <definedNames>
    <definedName name="_xlnm.Print_Area" localSheetId="1">ホイップクリーム凍結庫設置工事!$A$1:$I$82</definedName>
    <definedName name="_xlnm.Print_Area" localSheetId="0">原本!$A$1:$H$53</definedName>
    <definedName name="_xlnm.Print_Titles" localSheetId="1">ホイップクリーム凍結庫設置工事!$6:$6</definedName>
    <definedName name="_xlnm.Print_Titles" localSheetId="0">原本!$6:$6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4" l="1"/>
  <c r="F40" i="14"/>
  <c r="F39" i="14"/>
  <c r="F36" i="14"/>
  <c r="F37" i="14"/>
  <c r="F26" i="14" l="1"/>
  <c r="G9" i="14" l="1"/>
  <c r="G41" i="14"/>
  <c r="G42" i="14"/>
  <c r="F11" i="14" l="1"/>
  <c r="D11" i="14"/>
  <c r="G10" i="14"/>
  <c r="G59" i="14"/>
  <c r="G18" i="14"/>
  <c r="G19" i="14"/>
  <c r="G20" i="14"/>
  <c r="G40" i="14"/>
  <c r="G37" i="14"/>
  <c r="G35" i="14" l="1"/>
  <c r="G36" i="14"/>
  <c r="G38" i="14"/>
  <c r="G39" i="14"/>
  <c r="G43" i="14"/>
  <c r="G23" i="14"/>
  <c r="G73" i="14"/>
  <c r="G75" i="14"/>
  <c r="G60" i="14"/>
  <c r="G61" i="14"/>
  <c r="G63" i="14"/>
  <c r="G64" i="14"/>
  <c r="G65" i="14"/>
  <c r="G67" i="14"/>
  <c r="G68" i="14"/>
  <c r="G69" i="14"/>
  <c r="G21" i="14"/>
  <c r="G57" i="14"/>
  <c r="D56" i="14"/>
  <c r="G56" i="14" s="1"/>
  <c r="D53" i="14"/>
  <c r="G53" i="14" s="1"/>
  <c r="D52" i="14"/>
  <c r="G52" i="14" s="1"/>
  <c r="D51" i="14"/>
  <c r="G51" i="14" s="1"/>
  <c r="G34" i="14"/>
  <c r="G28" i="14"/>
  <c r="G29" i="14"/>
  <c r="G62" i="14" l="1"/>
  <c r="G66" i="14"/>
  <c r="G70" i="14"/>
  <c r="F54" i="14"/>
  <c r="G54" i="14" s="1"/>
  <c r="F55" i="14" s="1"/>
  <c r="G55" i="14" s="1"/>
  <c r="G58" i="14" s="1"/>
  <c r="G78" i="14" l="1"/>
  <c r="G77" i="14"/>
  <c r="G81" i="14" l="1"/>
  <c r="G46" i="14" l="1"/>
  <c r="H3" i="14"/>
  <c r="G49" i="14"/>
  <c r="G48" i="14"/>
  <c r="G47" i="14"/>
  <c r="G44" i="14"/>
  <c r="G27" i="14"/>
  <c r="G26" i="14"/>
  <c r="G24" i="14"/>
  <c r="G22" i="14"/>
  <c r="G16" i="14"/>
  <c r="G15" i="14"/>
  <c r="G14" i="14"/>
  <c r="G12" i="14"/>
  <c r="G11" i="14"/>
  <c r="G8" i="14"/>
  <c r="G7" i="14"/>
  <c r="A2" i="14"/>
  <c r="G32" i="13"/>
  <c r="G33" i="13"/>
  <c r="G34" i="13"/>
  <c r="G27" i="13"/>
  <c r="G28" i="13"/>
  <c r="G29" i="13"/>
  <c r="G30" i="13"/>
  <c r="G23" i="13"/>
  <c r="G24" i="13"/>
  <c r="G25" i="13"/>
  <c r="G20" i="13"/>
  <c r="G21" i="13"/>
  <c r="H47" i="13"/>
  <c r="H3" i="13" s="1"/>
  <c r="G16" i="13"/>
  <c r="G17" i="13"/>
  <c r="G18" i="13"/>
  <c r="G12" i="13"/>
  <c r="G13" i="13"/>
  <c r="G14" i="13"/>
  <c r="G7" i="13"/>
  <c r="G8" i="13"/>
  <c r="G9" i="13"/>
  <c r="G10" i="13"/>
  <c r="G51" i="13"/>
  <c r="G46" i="13"/>
  <c r="G42" i="13"/>
  <c r="A2" i="13"/>
  <c r="F32" i="14" l="1"/>
  <c r="G32" i="14" s="1"/>
  <c r="I81" i="14"/>
  <c r="I66" i="14"/>
  <c r="F74" i="14"/>
  <c r="G74" i="14" s="1"/>
  <c r="F71" i="14"/>
  <c r="G71" i="14" s="1"/>
  <c r="I58" i="14"/>
  <c r="I62" i="14"/>
  <c r="G25" i="14"/>
  <c r="I25" i="14" s="1"/>
  <c r="F31" i="14"/>
  <c r="G31" i="14" s="1"/>
  <c r="F33" i="14"/>
  <c r="G33" i="14" s="1"/>
  <c r="F30" i="14"/>
  <c r="G30" i="14" s="1"/>
  <c r="I21" i="14"/>
  <c r="G13" i="14"/>
  <c r="I13" i="14" s="1"/>
  <c r="G17" i="14"/>
  <c r="G50" i="14"/>
  <c r="I50" i="14" s="1"/>
  <c r="G26" i="13"/>
  <c r="G22" i="13"/>
  <c r="G35" i="13"/>
  <c r="G31" i="13"/>
  <c r="G11" i="13"/>
  <c r="G19" i="13"/>
  <c r="G15" i="13"/>
  <c r="G45" i="14" l="1"/>
  <c r="I45" i="14" s="1"/>
  <c r="G3" i="13"/>
  <c r="H4" i="13" s="1"/>
  <c r="I3" i="13" l="1"/>
  <c r="G72" i="14"/>
  <c r="G76" i="14" s="1"/>
  <c r="G3" i="14" l="1"/>
  <c r="H4" i="14" s="1"/>
  <c r="I76" i="14"/>
  <c r="I3"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tc={1DCEA896-0FBC-4EC5-BB32-437A3826BC68}</author>
    <author>tc={05CF990A-0D25-4E02-84C6-52951BD80570}</author>
  </authors>
  <commentList>
    <comment ref="A1" authorId="0" shapeId="0" xr:uid="{1DCEA896-0FBC-4EC5-BB32-437A3826BC6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現場名を入力</t>
      </text>
    </comment>
    <comment ref="A2" authorId="1" shapeId="0" xr:uid="{05CF990A-0D25-4E02-84C6-52951BD8057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シート名を反映するため、入力不要</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tc={13D71E21-0306-459C-863F-35CE79B140E5}</author>
    <author>tc={737E1A9B-BDA4-4C45-83AB-0906F8EF18A3}</author>
  </authors>
  <commentList>
    <comment ref="A1" authorId="0" shapeId="0" xr:uid="{13D71E21-0306-459C-863F-35CE79B140E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現場名を入力</t>
      </text>
    </comment>
    <comment ref="A2" authorId="1" shapeId="0" xr:uid="{737E1A9B-BDA4-4C45-83AB-0906F8EF18A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シート名を反映するため、入力不要</t>
      </text>
    </comment>
  </commentList>
</comments>
</file>

<file path=xl/sharedStrings.xml><?xml version="1.0" encoding="utf-8"?>
<sst xmlns="http://schemas.openxmlformats.org/spreadsheetml/2006/main" count="224" uniqueCount="137">
  <si>
    <t>仮設工事</t>
    <rPh sb="0" eb="2">
      <t>カセツ</t>
    </rPh>
    <rPh sb="2" eb="4">
      <t>コウジ</t>
    </rPh>
    <phoneticPr fontId="1"/>
  </si>
  <si>
    <t>諸経費</t>
    <rPh sb="0" eb="3">
      <t>ショケイヒ</t>
    </rPh>
    <phoneticPr fontId="1"/>
  </si>
  <si>
    <t>数量</t>
    <rPh sb="0" eb="2">
      <t>スウリョウ</t>
    </rPh>
    <phoneticPr fontId="1"/>
  </si>
  <si>
    <t>配管工事</t>
    <rPh sb="0" eb="2">
      <t>ハイカン</t>
    </rPh>
    <rPh sb="2" eb="4">
      <t>コウジ</t>
    </rPh>
    <phoneticPr fontId="1"/>
  </si>
  <si>
    <t>営業予算</t>
    <rPh sb="0" eb="2">
      <t>エイギョウ</t>
    </rPh>
    <rPh sb="2" eb="3">
      <t>ヨ</t>
    </rPh>
    <rPh sb="3" eb="4">
      <t>サン</t>
    </rPh>
    <phoneticPr fontId="1"/>
  </si>
  <si>
    <t>項　　目</t>
    <rPh sb="0" eb="1">
      <t>コウ</t>
    </rPh>
    <rPh sb="3" eb="4">
      <t>メ</t>
    </rPh>
    <phoneticPr fontId="1"/>
  </si>
  <si>
    <t>詳　細</t>
    <rPh sb="0" eb="1">
      <t>ショウ</t>
    </rPh>
    <rPh sb="2" eb="3">
      <t>ホソ</t>
    </rPh>
    <phoneticPr fontId="1"/>
  </si>
  <si>
    <t>単　価</t>
    <rPh sb="0" eb="1">
      <t>タン</t>
    </rPh>
    <rPh sb="2" eb="3">
      <t>アタイ</t>
    </rPh>
    <phoneticPr fontId="1"/>
  </si>
  <si>
    <t>単位</t>
    <rPh sb="0" eb="2">
      <t>タンイ</t>
    </rPh>
    <phoneticPr fontId="1"/>
  </si>
  <si>
    <t>金　額</t>
    <rPh sb="0" eb="1">
      <t>キン</t>
    </rPh>
    <rPh sb="2" eb="3">
      <t>ガク</t>
    </rPh>
    <phoneticPr fontId="1"/>
  </si>
  <si>
    <t>粗利</t>
    <rPh sb="0" eb="2">
      <t>アラリ</t>
    </rPh>
    <phoneticPr fontId="1"/>
  </si>
  <si>
    <t>機器</t>
    <rPh sb="0" eb="2">
      <t>キキ</t>
    </rPh>
    <phoneticPr fontId="1"/>
  </si>
  <si>
    <t>フリーザー</t>
    <phoneticPr fontId="1"/>
  </si>
  <si>
    <t>設備工事</t>
    <rPh sb="0" eb="2">
      <t>セツビ</t>
    </rPh>
    <rPh sb="2" eb="4">
      <t>コウジ</t>
    </rPh>
    <phoneticPr fontId="1"/>
  </si>
  <si>
    <t>重量・運搬工事</t>
    <rPh sb="0" eb="2">
      <t>ジュウリョウ</t>
    </rPh>
    <rPh sb="3" eb="5">
      <t>ウンパン</t>
    </rPh>
    <rPh sb="5" eb="7">
      <t>コウジ</t>
    </rPh>
    <phoneticPr fontId="1"/>
  </si>
  <si>
    <t>1</t>
  </si>
  <si>
    <t>建築工事</t>
    <rPh sb="0" eb="2">
      <t>ケンチク</t>
    </rPh>
    <rPh sb="2" eb="4">
      <t>コウジ</t>
    </rPh>
    <phoneticPr fontId="1"/>
  </si>
  <si>
    <t>電気工事</t>
    <rPh sb="0" eb="2">
      <t>デンキ</t>
    </rPh>
    <rPh sb="2" eb="4">
      <t>コウジ</t>
    </rPh>
    <phoneticPr fontId="1"/>
  </si>
  <si>
    <t>熱絶縁工事</t>
    <rPh sb="0" eb="1">
      <t>ネツ</t>
    </rPh>
    <rPh sb="1" eb="3">
      <t>ゼツエン</t>
    </rPh>
    <rPh sb="3" eb="5">
      <t>コウジ</t>
    </rPh>
    <phoneticPr fontId="1"/>
  </si>
  <si>
    <t>リース費</t>
    <rPh sb="3" eb="4">
      <t>ヒ</t>
    </rPh>
    <phoneticPr fontId="1"/>
  </si>
  <si>
    <t>労務費</t>
    <rPh sb="0" eb="3">
      <t>ロウムヒ</t>
    </rPh>
    <phoneticPr fontId="1"/>
  </si>
  <si>
    <t>小計</t>
    <rPh sb="0" eb="1">
      <t>ショウ</t>
    </rPh>
    <rPh sb="1" eb="2">
      <t>ケイ</t>
    </rPh>
    <phoneticPr fontId="1"/>
  </si>
  <si>
    <t xml:space="preserve">1 </t>
  </si>
  <si>
    <t>工事原価</t>
    <rPh sb="0" eb="2">
      <t>コウジ</t>
    </rPh>
    <rPh sb="2" eb="4">
      <t>ゲンカ</t>
    </rPh>
    <phoneticPr fontId="1"/>
  </si>
  <si>
    <t>受注金額</t>
    <rPh sb="0" eb="2">
      <t>ジュチュウ</t>
    </rPh>
    <rPh sb="2" eb="3">
      <t>キン</t>
    </rPh>
    <rPh sb="3" eb="4">
      <t>ガク</t>
    </rPh>
    <phoneticPr fontId="1"/>
  </si>
  <si>
    <t>客先名</t>
    <rPh sb="0" eb="2">
      <t>キャクサキ</t>
    </rPh>
    <rPh sb="2" eb="3">
      <t>メイ</t>
    </rPh>
    <phoneticPr fontId="1"/>
  </si>
  <si>
    <t>UCR-D25BHA</t>
    <phoneticPr fontId="1"/>
  </si>
  <si>
    <t>ユニットクーラー</t>
    <phoneticPr fontId="1"/>
  </si>
  <si>
    <t>台</t>
    <rPh sb="0" eb="1">
      <t>ダイ</t>
    </rPh>
    <phoneticPr fontId="1"/>
  </si>
  <si>
    <t>壁パネル</t>
    <rPh sb="0" eb="1">
      <t>カベ</t>
    </rPh>
    <phoneticPr fontId="1"/>
  </si>
  <si>
    <t>㎡</t>
    <phoneticPr fontId="1"/>
  </si>
  <si>
    <t>不燃100T 内外ｶﾗｰ鋼板</t>
    <rPh sb="0" eb="2">
      <t>フネン</t>
    </rPh>
    <rPh sb="7" eb="9">
      <t>ナイガイ</t>
    </rPh>
    <rPh sb="12" eb="14">
      <t>コウハン</t>
    </rPh>
    <phoneticPr fontId="1"/>
  </si>
  <si>
    <t>天井パネル</t>
    <rPh sb="0" eb="2">
      <t>テンジョウ</t>
    </rPh>
    <phoneticPr fontId="1"/>
  </si>
  <si>
    <t>床パネル</t>
    <rPh sb="0" eb="1">
      <t>ユカ</t>
    </rPh>
    <phoneticPr fontId="1"/>
  </si>
  <si>
    <t>建具および工賃</t>
    <rPh sb="0" eb="2">
      <t>タテグ</t>
    </rPh>
    <rPh sb="5" eb="7">
      <t>コウチン</t>
    </rPh>
    <phoneticPr fontId="1"/>
  </si>
  <si>
    <t>ﾊﾟﾈﾙ資材を全体の53％として</t>
    <rPh sb="4" eb="6">
      <t>シザイ</t>
    </rPh>
    <rPh sb="7" eb="9">
      <t>ゼンタイ</t>
    </rPh>
    <phoneticPr fontId="1"/>
  </si>
  <si>
    <t>式</t>
    <rPh sb="0" eb="1">
      <t>シキ</t>
    </rPh>
    <phoneticPr fontId="1"/>
  </si>
  <si>
    <t>パネル工事</t>
    <rPh sb="3" eb="5">
      <t>コウジ</t>
    </rPh>
    <phoneticPr fontId="1"/>
  </si>
  <si>
    <t>NET45％×値段交渉75％</t>
    <rPh sb="7" eb="9">
      <t>ネダン</t>
    </rPh>
    <rPh sb="9" eb="11">
      <t>コウショウ</t>
    </rPh>
    <phoneticPr fontId="1"/>
  </si>
  <si>
    <t>0</t>
  </si>
  <si>
    <t>冷凍機</t>
    <rPh sb="0" eb="2">
      <t>レイトウ</t>
    </rPh>
    <rPh sb="2" eb="3">
      <t>キ</t>
    </rPh>
    <phoneticPr fontId="1"/>
  </si>
  <si>
    <t>5,500,000</t>
  </si>
  <si>
    <t>㎥</t>
    <phoneticPr fontId="1"/>
  </si>
  <si>
    <t>7.45m×5.4m×0.07m×90％</t>
    <phoneticPr fontId="1"/>
  </si>
  <si>
    <t>人工</t>
    <rPh sb="0" eb="2">
      <t>ニンク</t>
    </rPh>
    <phoneticPr fontId="1"/>
  </si>
  <si>
    <t>宿泊費</t>
    <rPh sb="0" eb="3">
      <t>シュクハクヒ</t>
    </rPh>
    <phoneticPr fontId="1"/>
  </si>
  <si>
    <t>泊</t>
    <rPh sb="0" eb="1">
      <t>ハク</t>
    </rPh>
    <phoneticPr fontId="1"/>
  </si>
  <si>
    <t>搬入据付</t>
    <rPh sb="0" eb="2">
      <t>ハンニュウ</t>
    </rPh>
    <rPh sb="2" eb="4">
      <t>スエツケ</t>
    </rPh>
    <phoneticPr fontId="1"/>
  </si>
  <si>
    <t>クレーン</t>
    <phoneticPr fontId="1"/>
  </si>
  <si>
    <t>25tR</t>
    <phoneticPr fontId="1"/>
  </si>
  <si>
    <t>日</t>
    <rPh sb="0" eb="1">
      <t>ニチ</t>
    </rPh>
    <phoneticPr fontId="1"/>
  </si>
  <si>
    <t>準備4+UC5＋冷凍機4</t>
    <rPh sb="0" eb="2">
      <t>ジュンビ</t>
    </rPh>
    <rPh sb="8" eb="10">
      <t>レイトウ</t>
    </rPh>
    <rPh sb="10" eb="11">
      <t>キ</t>
    </rPh>
    <phoneticPr fontId="1"/>
  </si>
  <si>
    <t>1,200,000</t>
  </si>
  <si>
    <t>営業・設計</t>
    <rPh sb="0" eb="2">
      <t>エイギョウ</t>
    </rPh>
    <rPh sb="3" eb="5">
      <t>セッケイ</t>
    </rPh>
    <phoneticPr fontId="1"/>
  </si>
  <si>
    <t>30日</t>
    <rPh sb="2" eb="3">
      <t>ニチ</t>
    </rPh>
    <phoneticPr fontId="1"/>
  </si>
  <si>
    <t>工事</t>
    <rPh sb="0" eb="2">
      <t>コウジ</t>
    </rPh>
    <phoneticPr fontId="1"/>
  </si>
  <si>
    <t>冷媒液</t>
    <rPh sb="0" eb="2">
      <t>レイバイ</t>
    </rPh>
    <rPh sb="2" eb="3">
      <t>エキ</t>
    </rPh>
    <phoneticPr fontId="1"/>
  </si>
  <si>
    <t>本</t>
    <rPh sb="0" eb="1">
      <t>ホン</t>
    </rPh>
    <phoneticPr fontId="1"/>
  </si>
  <si>
    <t>冷媒ガス</t>
    <rPh sb="0" eb="2">
      <t>レイバイ</t>
    </rPh>
    <phoneticPr fontId="1"/>
  </si>
  <si>
    <t>ドレン</t>
    <phoneticPr fontId="1"/>
  </si>
  <si>
    <t>C1220T φ19.05×30m×2</t>
    <phoneticPr fontId="1"/>
  </si>
  <si>
    <t>継手</t>
    <rPh sb="0" eb="2">
      <t>ツギテ</t>
    </rPh>
    <phoneticPr fontId="1"/>
  </si>
  <si>
    <t>その他配管</t>
    <rPh sb="2" eb="3">
      <t>タ</t>
    </rPh>
    <rPh sb="3" eb="5">
      <t>ハイカン</t>
    </rPh>
    <phoneticPr fontId="1"/>
  </si>
  <si>
    <t>管材×10％</t>
    <rPh sb="0" eb="1">
      <t>カン</t>
    </rPh>
    <rPh sb="1" eb="2">
      <t>ザイ</t>
    </rPh>
    <phoneticPr fontId="1"/>
  </si>
  <si>
    <t>管材×100％</t>
    <rPh sb="0" eb="1">
      <t>カン</t>
    </rPh>
    <rPh sb="1" eb="2">
      <t>ザイ</t>
    </rPh>
    <phoneticPr fontId="1"/>
  </si>
  <si>
    <t>ブラケット</t>
    <phoneticPr fontId="1"/>
  </si>
  <si>
    <t>管材×30％</t>
    <rPh sb="0" eb="1">
      <t>カン</t>
    </rPh>
    <rPh sb="1" eb="2">
      <t>ザイ</t>
    </rPh>
    <phoneticPr fontId="1"/>
  </si>
  <si>
    <t>７日×4人</t>
    <rPh sb="1" eb="2">
      <t>ニチ</t>
    </rPh>
    <rPh sb="4" eb="5">
      <t>ニン</t>
    </rPh>
    <phoneticPr fontId="1"/>
  </si>
  <si>
    <t>二次側電気工事</t>
    <rPh sb="0" eb="2">
      <t>ニジ</t>
    </rPh>
    <rPh sb="2" eb="3">
      <t>ガワ</t>
    </rPh>
    <rPh sb="3" eb="5">
      <t>デンキ</t>
    </rPh>
    <rPh sb="5" eb="7">
      <t>コウジ</t>
    </rPh>
    <phoneticPr fontId="1"/>
  </si>
  <si>
    <t xml:space="preserve">4,400,000 </t>
  </si>
  <si>
    <t>工事保険費</t>
    <rPh sb="0" eb="2">
      <t>コウジ</t>
    </rPh>
    <rPh sb="2" eb="4">
      <t>ホケン</t>
    </rPh>
    <rPh sb="4" eb="5">
      <t>ヒ</t>
    </rPh>
    <phoneticPr fontId="1"/>
  </si>
  <si>
    <t>現場経費</t>
    <rPh sb="0" eb="2">
      <t>ゲンバ</t>
    </rPh>
    <rPh sb="2" eb="4">
      <t>ケイヒ</t>
    </rPh>
    <phoneticPr fontId="1"/>
  </si>
  <si>
    <t>産業廃棄物</t>
    <rPh sb="0" eb="2">
      <t>サンギョウ</t>
    </rPh>
    <rPh sb="2" eb="4">
      <t>ハイキ</t>
    </rPh>
    <rPh sb="4" eb="5">
      <t>ブツ</t>
    </rPh>
    <phoneticPr fontId="1"/>
  </si>
  <si>
    <t xml:space="preserve">0 </t>
  </si>
  <si>
    <t>旅費交通費</t>
    <rPh sb="0" eb="5">
      <t>リョヒコウツウヒ</t>
    </rPh>
    <phoneticPr fontId="1"/>
  </si>
  <si>
    <t>現場未定</t>
    <rPh sb="0" eb="2">
      <t>ゲンバ</t>
    </rPh>
    <rPh sb="2" eb="4">
      <t>ミテイ</t>
    </rPh>
    <phoneticPr fontId="1"/>
  </si>
  <si>
    <t>営業経費</t>
    <rPh sb="0" eb="2">
      <t>エイギョウ</t>
    </rPh>
    <rPh sb="2" eb="4">
      <t>ケイヒ</t>
    </rPh>
    <phoneticPr fontId="1"/>
  </si>
  <si>
    <t>予備費</t>
    <rPh sb="0" eb="3">
      <t>ヨビヒ</t>
    </rPh>
    <phoneticPr fontId="1"/>
  </si>
  <si>
    <t>受注金額の3%</t>
    <rPh sb="0" eb="2">
      <t>ジュチュウ</t>
    </rPh>
    <rPh sb="2" eb="4">
      <t>キンガク</t>
    </rPh>
    <phoneticPr fontId="1"/>
  </si>
  <si>
    <t>受注金額の1％</t>
    <rPh sb="0" eb="2">
      <t>ジュチュウ</t>
    </rPh>
    <rPh sb="2" eb="4">
      <t>キンガク</t>
    </rPh>
    <phoneticPr fontId="1"/>
  </si>
  <si>
    <t>現場道具</t>
    <rPh sb="0" eb="2">
      <t>ゲンバ</t>
    </rPh>
    <rPh sb="2" eb="4">
      <t>ドウグ</t>
    </rPh>
    <phoneticPr fontId="1"/>
  </si>
  <si>
    <t>高車、台車、脚立等</t>
    <rPh sb="0" eb="2">
      <t>コウシャ</t>
    </rPh>
    <rPh sb="3" eb="5">
      <t>ダイシャ</t>
    </rPh>
    <rPh sb="6" eb="8">
      <t>キャタツ</t>
    </rPh>
    <rPh sb="8" eb="9">
      <t>トウ</t>
    </rPh>
    <phoneticPr fontId="1"/>
  </si>
  <si>
    <t xml:space="preserve">700,000 </t>
  </si>
  <si>
    <t xml:space="preserve">400,000 </t>
  </si>
  <si>
    <t>バルブ類</t>
    <rPh sb="3" eb="4">
      <t>ルイ</t>
    </rPh>
    <phoneticPr fontId="1"/>
  </si>
  <si>
    <t>管材×150％</t>
    <rPh sb="0" eb="1">
      <t>カン</t>
    </rPh>
    <rPh sb="1" eb="2">
      <t>ザイ</t>
    </rPh>
    <phoneticPr fontId="1"/>
  </si>
  <si>
    <t>混載</t>
    <rPh sb="0" eb="2">
      <t>コンサイ</t>
    </rPh>
    <phoneticPr fontId="1"/>
  </si>
  <si>
    <t>防熱材（冷媒ガス）</t>
    <rPh sb="0" eb="2">
      <t>ボウネツ</t>
    </rPh>
    <rPh sb="2" eb="3">
      <t>ザイ</t>
    </rPh>
    <rPh sb="4" eb="6">
      <t>レイバイ</t>
    </rPh>
    <phoneticPr fontId="1"/>
  </si>
  <si>
    <t>m</t>
    <phoneticPr fontId="1"/>
  </si>
  <si>
    <t>防熱材（冷媒液）</t>
    <rPh sb="0" eb="2">
      <t>ボウネツ</t>
    </rPh>
    <rPh sb="2" eb="3">
      <t>ザイ</t>
    </rPh>
    <rPh sb="4" eb="6">
      <t>レイバイ</t>
    </rPh>
    <rPh sb="6" eb="7">
      <t>エキ</t>
    </rPh>
    <phoneticPr fontId="1"/>
  </si>
  <si>
    <t>々</t>
    <phoneticPr fontId="1"/>
  </si>
  <si>
    <t>貫通処理</t>
    <rPh sb="0" eb="2">
      <t>カンツウ</t>
    </rPh>
    <rPh sb="2" eb="4">
      <t>ショリ</t>
    </rPh>
    <phoneticPr fontId="1"/>
  </si>
  <si>
    <t>天井4箇所、壁2箇所</t>
    <rPh sb="0" eb="2">
      <t>テンジョウ</t>
    </rPh>
    <rPh sb="3" eb="5">
      <t>カショ</t>
    </rPh>
    <rPh sb="6" eb="7">
      <t>カベ</t>
    </rPh>
    <rPh sb="8" eb="10">
      <t>カショ</t>
    </rPh>
    <phoneticPr fontId="1"/>
  </si>
  <si>
    <t>箇所</t>
    <rPh sb="0" eb="2">
      <t>カショ</t>
    </rPh>
    <phoneticPr fontId="1"/>
  </si>
  <si>
    <t>株式会社神戸物産</t>
    <rPh sb="0" eb="4">
      <t>カブシキガイシャ</t>
    </rPh>
    <rPh sb="4" eb="6">
      <t>コウベ</t>
    </rPh>
    <rPh sb="6" eb="8">
      <t>ブッサン</t>
    </rPh>
    <phoneticPr fontId="1"/>
  </si>
  <si>
    <t>枚</t>
    <rPh sb="0" eb="1">
      <t>マイ</t>
    </rPh>
    <phoneticPr fontId="1"/>
  </si>
  <si>
    <t>492円/kg+工賃5000円</t>
    <rPh sb="3" eb="4">
      <t>エン</t>
    </rPh>
    <rPh sb="8" eb="10">
      <t>コウチン</t>
    </rPh>
    <rPh sb="14" eb="15">
      <t>エン</t>
    </rPh>
    <phoneticPr fontId="1"/>
  </si>
  <si>
    <t>C1200T φ41.28×30m×2</t>
    <phoneticPr fontId="1"/>
  </si>
  <si>
    <t>SGP-白 32A×3ｍ×2</t>
    <rPh sb="4" eb="5">
      <t>シロ</t>
    </rPh>
    <phoneticPr fontId="1"/>
  </si>
  <si>
    <t>VP 30A×6m×2</t>
    <phoneticPr fontId="1"/>
  </si>
  <si>
    <t>防熱材（ドレン）</t>
    <rPh sb="0" eb="2">
      <t>ボウネツ</t>
    </rPh>
    <rPh sb="2" eb="3">
      <t>ザイ</t>
    </rPh>
    <phoneticPr fontId="1"/>
  </si>
  <si>
    <t>現場未定より通いとする</t>
    <rPh sb="0" eb="2">
      <t>ゲンバ</t>
    </rPh>
    <rPh sb="2" eb="4">
      <t>ミテイ</t>
    </rPh>
    <rPh sb="6" eb="7">
      <t>カヨ</t>
    </rPh>
    <phoneticPr fontId="1"/>
  </si>
  <si>
    <t>ウレタン発泡（床下）</t>
    <rPh sb="4" eb="6">
      <t>ハッポウ</t>
    </rPh>
    <rPh sb="7" eb="8">
      <t>ユカ</t>
    </rPh>
    <rPh sb="8" eb="9">
      <t>シタ</t>
    </rPh>
    <phoneticPr fontId="1"/>
  </si>
  <si>
    <t xml:space="preserve">2,600,000 </t>
  </si>
  <si>
    <t>工期26日+α</t>
    <rPh sb="0" eb="2">
      <t>コウキ</t>
    </rPh>
    <rPh sb="4" eb="5">
      <t>ニチ</t>
    </rPh>
    <phoneticPr fontId="1"/>
  </si>
  <si>
    <t xml:space="preserve">5,000,000 </t>
  </si>
  <si>
    <t>制御盤</t>
    <rPh sb="0" eb="2">
      <t>セイギョ</t>
    </rPh>
    <rPh sb="2" eb="3">
      <t>バン</t>
    </rPh>
    <phoneticPr fontId="1"/>
  </si>
  <si>
    <t>面</t>
    <rPh sb="0" eb="1">
      <t>メン</t>
    </rPh>
    <phoneticPr fontId="1"/>
  </si>
  <si>
    <t>C.BOX</t>
    <phoneticPr fontId="1"/>
  </si>
  <si>
    <t>個</t>
    <rPh sb="0" eb="1">
      <t>コ</t>
    </rPh>
    <phoneticPr fontId="1"/>
  </si>
  <si>
    <t>4,000,000</t>
  </si>
  <si>
    <t>C.BOX利用</t>
    <rPh sb="5" eb="7">
      <t>リヨウ</t>
    </rPh>
    <phoneticPr fontId="1"/>
  </si>
  <si>
    <t>営業見積</t>
    <rPh sb="0" eb="2">
      <t>エイギョウ</t>
    </rPh>
    <rPh sb="2" eb="4">
      <t>ミツモリ</t>
    </rPh>
    <phoneticPr fontId="1"/>
  </si>
  <si>
    <t>定尺4.0m</t>
    <rPh sb="0" eb="1">
      <t>テイ</t>
    </rPh>
    <rPh sb="1" eb="2">
      <t>シャク</t>
    </rPh>
    <phoneticPr fontId="1"/>
  </si>
  <si>
    <t>定尺5.5m</t>
    <rPh sb="0" eb="2">
      <t>テイシャク</t>
    </rPh>
    <phoneticPr fontId="1"/>
  </si>
  <si>
    <t>定尺4.0ｍ　</t>
    <rPh sb="0" eb="2">
      <t>テイシャク</t>
    </rPh>
    <phoneticPr fontId="1"/>
  </si>
  <si>
    <t>工賃込み</t>
    <rPh sb="0" eb="2">
      <t>コウチン</t>
    </rPh>
    <rPh sb="2" eb="3">
      <t>コ</t>
    </rPh>
    <phoneticPr fontId="1"/>
  </si>
  <si>
    <t>φ41.28×AF50t</t>
    <phoneticPr fontId="1"/>
  </si>
  <si>
    <t>φ41.28×AF50t×ｶﾞﾙﾊﾞ</t>
    <phoneticPr fontId="1"/>
  </si>
  <si>
    <t>φ19.05×AF32t</t>
    <phoneticPr fontId="1"/>
  </si>
  <si>
    <t>φ19.05×AF32t×ｶﾞﾙﾊﾞ</t>
    <phoneticPr fontId="1"/>
  </si>
  <si>
    <t>32A×AF20t×SUS</t>
    <phoneticPr fontId="1"/>
  </si>
  <si>
    <t>32A×AF20t ｴﾙﾎﾞ</t>
    <phoneticPr fontId="1"/>
  </si>
  <si>
    <t>φ41.28×AF50t ｴﾙﾎﾞ</t>
    <phoneticPr fontId="1"/>
  </si>
  <si>
    <t>φ19.05×AF32t ｴﾙﾎﾞ</t>
    <phoneticPr fontId="1"/>
  </si>
  <si>
    <t>直管×1.4</t>
    <rPh sb="0" eb="2">
      <t>チョッカン</t>
    </rPh>
    <phoneticPr fontId="1"/>
  </si>
  <si>
    <t>直管×0.7</t>
    <rPh sb="0" eb="2">
      <t>チョッカン</t>
    </rPh>
    <phoneticPr fontId="1"/>
  </si>
  <si>
    <t>アルミトレイ</t>
    <phoneticPr fontId="1"/>
  </si>
  <si>
    <t>ステンレス台車</t>
    <rPh sb="5" eb="7">
      <t>ダイシャ</t>
    </rPh>
    <phoneticPr fontId="1"/>
  </si>
  <si>
    <t>1134×1163×1725　64.2kg</t>
    <phoneticPr fontId="1"/>
  </si>
  <si>
    <t>500×1000×41　3.1kg</t>
    <phoneticPr fontId="1"/>
  </si>
  <si>
    <t>冷凍負荷 41.1kW</t>
    <rPh sb="0" eb="2">
      <t>レイトウ</t>
    </rPh>
    <rPh sb="2" eb="4">
      <t>フカ</t>
    </rPh>
    <phoneticPr fontId="1"/>
  </si>
  <si>
    <t>18,500,000</t>
  </si>
  <si>
    <t>25.09.11見積</t>
    <rPh sb="8" eb="10">
      <t>ミツモリ</t>
    </rPh>
    <phoneticPr fontId="1"/>
  </si>
  <si>
    <t>900円/kg＋12工数</t>
    <rPh sb="3" eb="4">
      <t>エン</t>
    </rPh>
    <rPh sb="10" eb="12">
      <t>コウスウ</t>
    </rPh>
    <phoneticPr fontId="1"/>
  </si>
  <si>
    <t>ECO-DM225A</t>
    <phoneticPr fontId="1"/>
  </si>
  <si>
    <t>※ (実行予算)÷(受注金額)</t>
    <rPh sb="3" eb="5">
      <t>ジッコウ</t>
    </rPh>
    <rPh sb="5" eb="7">
      <t>ヨサン</t>
    </rPh>
    <rPh sb="10" eb="12">
      <t>キンガク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</si>
</sst>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6" formatCode="&quot;¥&quot;#,##0;[Red]&quot;¥&quot;\-#,##0"/>
    <numFmt numFmtId="176" formatCode="#,##0_ "/>
    <numFmt numFmtId="177" formatCode="#,##0.00_ "/>
    <numFmt numFmtId="178" formatCode="0.00&quot;㎡&quot;"/>
    <numFmt numFmtId="179" formatCode="0.0_ "/>
    <numFmt numFmtId="180" formatCode="&quot;工事名称： &quot;@"/>
    <numFmt numFmtId="181" formatCode="&quot;現場名称： &quot;@"/>
    <numFmt numFmtId="182" formatCode="0_);[Red]\(0\)"/>
    <numFmt numFmtId="183" formatCode="0.0%"/>
    <numFmt numFmtId="184" formatCode="0_ "/>
    <numFmt numFmtId="185" formatCode="&quot;(&quot;#,##0_ &quot;)&quot;"/>
  </numFmts>
  <fonts count="14" x14ac:knownFonts="1">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sz val="10"/>
      <name val="游ゴシック"/>
      <family val="3"/>
      <charset val="128"/>
      <scheme val="minor"/>
    </font>
    <font>
      <sz val="10"/>
      <color theme="1"/>
      <name val="游ゴシック"/>
      <family val="3"/>
      <charset val="128"/>
      <scheme val="minor"/>
    </font>
    <font>
      <b/>
      <sz val="10"/>
      <color rgb="FFFF0000"/>
      <name val="游ゴシック"/>
      <family val="3"/>
      <charset val="128"/>
      <scheme val="minor"/>
    </font>
    <font>
      <sz val="9"/>
      <color theme="1"/>
      <name val="游ゴシック"/>
      <family val="3"/>
      <charset val="128"/>
      <scheme val="minor"/>
    </font>
    <font>
      <sz val="8"/>
      <color theme="1"/>
      <name val="游ゴシック"/>
      <family val="3"/>
      <charset val="128"/>
      <scheme val="minor"/>
    </font>
    <font>
      <b/>
      <sz val="8"/>
      <color theme="1"/>
      <name val="游ゴシック"/>
      <family val="3"/>
      <charset val="128"/>
      <scheme val="minor"/>
    </font>
    <font>
      <b/>
      <sz val="8"/>
      <color rgb="FFFF0000"/>
      <name val="游ゴシック"/>
      <family val="3"/>
      <charset val="128"/>
      <scheme val="minor"/>
    </font>
    <font>
      <sz val="8"/>
      <color theme="1" tint="0.34998626667073579"/>
      <name val="游ゴシック"/>
      <family val="3"/>
      <charset val="128"/>
      <scheme val="minor"/>
    </font>
    <font>
      <b/>
      <sz val="9"/>
      <color rgb="FFFF0000"/>
      <name val="游ゴシック"/>
      <family val="3"/>
      <charset val="128"/>
      <scheme val="minor"/>
    </font>
    <font>
      <sz val="9"/>
      <name val="游ゴシック"/>
      <family val="3"/>
      <charset val="128"/>
      <scheme val="minor"/>
    </font>
    <font>
      <b/>
      <sz val="8"/>
      <color rgb="FF0070C0"/>
      <name val="游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alignment vertical="center"/>
    </xf>
    <xf numFmtId="9" fontId="2" fillId="0" borderId="0" applyFont="0" applyFill="0" applyBorder="0" applyAlignment="0" applyProtection="0">
      <alignment vertical="center"/>
    </xf>
    <xf numFmtId="38" fontId="2" fillId="0" borderId="0" applyFont="0" applyFill="0" applyBorder="0" applyAlignment="0" applyProtection="0">
      <alignment vertical="center"/>
    </xf>
    <xf numFmtId="6" fontId="2" fillId="0" borderId="0" applyFont="0" applyFill="0" applyBorder="0" applyAlignment="0" applyProtection="0">
      <alignment vertical="center"/>
    </xf>
  </cellStyleXfs>
  <cellXfs count="61">
    <xf numFmtId="0" fontId="0" fillId="0" borderId="0" xfId="0">
      <alignment vertical="center"/>
    </xf>
    <xf numFmtId="0" fontId="4" fillId="0" borderId="0" xfId="0" applyFont="1">
      <alignment vertical="center"/>
    </xf>
    <xf numFmtId="38" fontId="4" fillId="0" borderId="0" xfId="2" applyFont="1">
      <alignment vertical="center"/>
    </xf>
    <xf numFmtId="176" fontId="4" fillId="0" borderId="0" xfId="0" applyNumberFormat="1" applyFont="1">
      <alignment vertical="center"/>
    </xf>
    <xf numFmtId="176" fontId="4" fillId="0" borderId="1" xfId="0" applyNumberFormat="1" applyFont="1" applyBorder="1">
      <alignment vertical="center"/>
    </xf>
    <xf numFmtId="9" fontId="4" fillId="0" borderId="1" xfId="1" applyFont="1" applyBorder="1">
      <alignment vertical="center"/>
    </xf>
    <xf numFmtId="176" fontId="5" fillId="0" borderId="1" xfId="0" applyNumberFormat="1" applyFont="1" applyBorder="1">
      <alignment vertical="center"/>
    </xf>
    <xf numFmtId="176" fontId="4" fillId="0" borderId="2" xfId="0" applyNumberFormat="1" applyFont="1" applyBorder="1">
      <alignment vertical="center"/>
    </xf>
    <xf numFmtId="176"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38" fontId="4" fillId="0" borderId="0" xfId="2" applyFont="1" applyBorder="1">
      <alignment vertical="center"/>
    </xf>
    <xf numFmtId="38" fontId="3" fillId="0" borderId="5" xfId="2" applyFont="1" applyFill="1" applyBorder="1" applyAlignment="1">
      <alignment horizontal="center" vertical="center"/>
    </xf>
    <xf numFmtId="180" fontId="4" fillId="0" borderId="0" xfId="0" applyNumberFormat="1" applyFont="1">
      <alignment vertical="center"/>
    </xf>
    <xf numFmtId="181" fontId="4" fillId="0" borderId="0" xfId="0" applyNumberFormat="1" applyFont="1">
      <alignment vertical="center"/>
    </xf>
    <xf numFmtId="176" fontId="4" fillId="0" borderId="0" xfId="0" applyNumberFormat="1" applyFont="1" applyAlignment="1">
      <alignment horizontal="right" vertical="center"/>
    </xf>
    <xf numFmtId="0" fontId="7" fillId="0" borderId="0" xfId="0" applyFont="1">
      <alignment vertical="center"/>
    </xf>
    <xf numFmtId="38" fontId="7" fillId="0" borderId="0" xfId="2" applyFont="1" applyBorder="1">
      <alignment vertical="center"/>
    </xf>
    <xf numFmtId="176" fontId="7" fillId="0" borderId="0" xfId="0" applyNumberFormat="1" applyFont="1">
      <alignment vertical="center"/>
    </xf>
    <xf numFmtId="176" fontId="7" fillId="0" borderId="0" xfId="0" applyNumberFormat="1" applyFont="1" applyAlignment="1">
      <alignment horizontal="right" vertical="center"/>
    </xf>
    <xf numFmtId="0" fontId="7" fillId="0" borderId="0" xfId="0" applyFont="1" applyAlignment="1">
      <alignment horizontal="right" vertical="center"/>
    </xf>
    <xf numFmtId="182" fontId="9" fillId="0" borderId="0" xfId="3" applyNumberFormat="1" applyFont="1" applyBorder="1" applyAlignment="1">
      <alignment horizontal="right" vertical="center"/>
    </xf>
    <xf numFmtId="0" fontId="9" fillId="0" borderId="0" xfId="0" applyFont="1" applyAlignment="1">
      <alignment horizontal="right" vertical="center"/>
    </xf>
    <xf numFmtId="38" fontId="7" fillId="0" borderId="0" xfId="2" applyFont="1" applyFill="1" applyBorder="1">
      <alignment vertical="center"/>
    </xf>
    <xf numFmtId="38" fontId="7" fillId="0" borderId="0" xfId="2" applyFont="1" applyFill="1" applyBorder="1" applyAlignment="1">
      <alignment vertical="center"/>
    </xf>
    <xf numFmtId="179" fontId="7" fillId="0" borderId="0" xfId="2" applyNumberFormat="1" applyFont="1" applyFill="1" applyBorder="1">
      <alignment vertical="center"/>
    </xf>
    <xf numFmtId="178" fontId="7" fillId="0" borderId="0" xfId="2" applyNumberFormat="1" applyFont="1" applyFill="1" applyBorder="1">
      <alignment vertical="center"/>
    </xf>
    <xf numFmtId="0" fontId="8" fillId="0" borderId="0" xfId="0" applyFont="1" applyAlignment="1">
      <alignment vertical="center" shrinkToFit="1"/>
    </xf>
    <xf numFmtId="0" fontId="7" fillId="0" borderId="0" xfId="0" applyFont="1" applyAlignment="1">
      <alignment vertical="center" shrinkToFit="1"/>
    </xf>
    <xf numFmtId="0" fontId="7" fillId="0" borderId="0" xfId="0" applyFont="1" applyAlignment="1">
      <alignment horizontal="right" vertical="center" shrinkToFit="1"/>
    </xf>
    <xf numFmtId="0" fontId="8" fillId="3" borderId="1" xfId="0" applyFont="1" applyFill="1" applyBorder="1" applyAlignment="1">
      <alignment horizontal="center" vertical="center"/>
    </xf>
    <xf numFmtId="38" fontId="8" fillId="3" borderId="1" xfId="2" applyFont="1" applyFill="1" applyBorder="1" applyAlignment="1">
      <alignment horizontal="center" vertical="center"/>
    </xf>
    <xf numFmtId="176" fontId="8" fillId="3" borderId="1" xfId="0" applyNumberFormat="1" applyFont="1" applyFill="1" applyBorder="1" applyAlignment="1">
      <alignment horizontal="center" vertical="center"/>
    </xf>
    <xf numFmtId="0" fontId="6" fillId="3" borderId="0" xfId="0" applyFont="1" applyFill="1" applyAlignment="1">
      <alignment horizontal="center" vertical="center"/>
    </xf>
    <xf numFmtId="0" fontId="7" fillId="3" borderId="4" xfId="0" applyFont="1" applyFill="1" applyBorder="1" applyAlignment="1">
      <alignment vertical="center" shrinkToFit="1"/>
    </xf>
    <xf numFmtId="176" fontId="8" fillId="3" borderId="3" xfId="0" applyNumberFormat="1" applyFont="1" applyFill="1" applyBorder="1" applyAlignment="1">
      <alignment horizontal="center" vertical="center"/>
    </xf>
    <xf numFmtId="176" fontId="10" fillId="0" borderId="0" xfId="0" applyNumberFormat="1" applyFont="1">
      <alignment vertical="center"/>
    </xf>
    <xf numFmtId="38" fontId="9" fillId="0" borderId="0" xfId="2" applyFont="1" applyAlignment="1">
      <alignment horizontal="right" vertical="center"/>
    </xf>
    <xf numFmtId="38" fontId="9" fillId="0" borderId="0" xfId="2" applyFont="1" applyBorder="1" applyAlignment="1">
      <alignment horizontal="right" vertical="center"/>
    </xf>
    <xf numFmtId="177" fontId="7" fillId="0" borderId="0" xfId="0" applyNumberFormat="1" applyFont="1">
      <alignment vertical="center"/>
    </xf>
    <xf numFmtId="3" fontId="9" fillId="0" borderId="0" xfId="0" applyNumberFormat="1" applyFont="1" applyAlignment="1">
      <alignment horizontal="right" vertical="center"/>
    </xf>
    <xf numFmtId="184" fontId="7" fillId="0" borderId="0" xfId="2" applyNumberFormat="1" applyFont="1" applyFill="1" applyBorder="1">
      <alignment vertical="center"/>
    </xf>
    <xf numFmtId="182" fontId="7" fillId="0" borderId="0" xfId="2" applyNumberFormat="1" applyFont="1" applyFill="1" applyBorder="1" applyAlignment="1">
      <alignment vertical="center"/>
    </xf>
    <xf numFmtId="176" fontId="9" fillId="0" borderId="0" xfId="0" applyNumberFormat="1" applyFont="1" applyAlignment="1">
      <alignment horizontal="right" vertical="center"/>
    </xf>
    <xf numFmtId="182" fontId="7" fillId="0" borderId="0" xfId="0" applyNumberFormat="1" applyFont="1">
      <alignment vertical="center"/>
    </xf>
    <xf numFmtId="38" fontId="7" fillId="0" borderId="0" xfId="2" applyFont="1">
      <alignment vertical="center"/>
    </xf>
    <xf numFmtId="185" fontId="10" fillId="0" borderId="0" xfId="0" applyNumberFormat="1" applyFont="1">
      <alignment vertical="center"/>
    </xf>
    <xf numFmtId="182" fontId="7" fillId="0" borderId="0" xfId="2" applyNumberFormat="1" applyFont="1" applyFill="1" applyBorder="1">
      <alignment vertical="center"/>
    </xf>
    <xf numFmtId="176" fontId="6" fillId="2" borderId="1" xfId="0" applyNumberFormat="1" applyFont="1" applyFill="1" applyBorder="1" applyAlignment="1">
      <alignment horizontal="center" vertical="center"/>
    </xf>
    <xf numFmtId="176" fontId="6" fillId="0" borderId="1" xfId="0" applyNumberFormat="1" applyFont="1" applyBorder="1">
      <alignment vertical="center"/>
    </xf>
    <xf numFmtId="176" fontId="11" fillId="0" borderId="1" xfId="0" applyNumberFormat="1" applyFont="1" applyBorder="1">
      <alignment vertical="center"/>
    </xf>
    <xf numFmtId="176" fontId="6" fillId="0" borderId="2" xfId="0" applyNumberFormat="1" applyFont="1" applyBorder="1">
      <alignment vertical="center"/>
    </xf>
    <xf numFmtId="176" fontId="12" fillId="0" borderId="1" xfId="0" applyNumberFormat="1" applyFont="1" applyBorder="1">
      <alignment vertical="center"/>
    </xf>
    <xf numFmtId="0" fontId="4" fillId="0" borderId="0" xfId="0" applyFont="1" applyAlignment="1">
      <alignment vertical="center" shrinkToFit="1"/>
    </xf>
    <xf numFmtId="0" fontId="8" fillId="3" borderId="1" xfId="0" applyFont="1" applyFill="1" applyBorder="1" applyAlignment="1">
      <alignment horizontal="center" vertical="center" shrinkToFit="1"/>
    </xf>
    <xf numFmtId="9" fontId="7" fillId="0" borderId="0" xfId="0" applyNumberFormat="1" applyFont="1" applyAlignment="1">
      <alignment vertical="center" shrinkToFit="1"/>
    </xf>
    <xf numFmtId="0" fontId="6" fillId="2" borderId="1" xfId="0" applyFont="1" applyFill="1" applyBorder="1" applyAlignment="1">
      <alignment horizontal="center" vertical="center" shrinkToFit="1"/>
    </xf>
    <xf numFmtId="9" fontId="11" fillId="0" borderId="1" xfId="1" applyFont="1" applyBorder="1" applyAlignment="1">
      <alignment vertical="center" shrinkToFit="1"/>
    </xf>
    <xf numFmtId="9" fontId="6" fillId="0" borderId="1" xfId="1" applyFont="1" applyBorder="1" applyAlignment="1">
      <alignment vertical="center" shrinkToFit="1"/>
    </xf>
    <xf numFmtId="0" fontId="7" fillId="0" borderId="0" xfId="0" applyFont="1" applyAlignment="1">
      <alignment horizontal="left" vertical="center" shrinkToFit="1"/>
    </xf>
    <xf numFmtId="0" fontId="13" fillId="0" borderId="0" xfId="0" applyFont="1" applyAlignment="1">
      <alignment horizontal="right" vertical="center"/>
    </xf>
    <xf numFmtId="183" fontId="13" fillId="0" borderId="0" xfId="1" applyNumberFormat="1" applyFont="1" applyAlignment="1">
      <alignment horizontal="left" vertical="center" shrinkToFit="1"/>
    </xf>
  </cellXfs>
  <cellStyles count="4">
    <cellStyle name="パーセント" xfId="1" builtinId="5"/>
    <cellStyle name="桁区切り" xfId="2" builtinId="6"/>
    <cellStyle name="通貨" xfId="3" builtinId="7"/>
    <cellStyle name="標準" xfId="0" builtinId="0"/>
  </cellStyles>
  <dxfs count="624">
    <dxf>
      <font>
        <b val="0"/>
        <i val="0"/>
        <strike val="0"/>
        <condense val="0"/>
        <extend val="0"/>
        <outline val="0"/>
        <shadow val="0"/>
        <u val="none"/>
        <vertAlign val="baseline"/>
        <sz val="8"/>
        <color theme="1"/>
        <name val="游ゴシック"/>
        <family val="3"/>
        <charset val="128"/>
        <scheme val="minor"/>
      </font>
      <numFmt numFmtId="176" formatCode="#,##0_ "/>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alignment horizontal="right" vertical="center" textRotation="0" wrapText="0" indent="0" justifyLastLine="0" shrinkToFit="0" readingOrder="0"/>
      <border diagonalUp="0" diagonalDown="0" outline="0">
        <left style="thin">
          <color indexed="64"/>
        </left>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0" formatCode="General"/>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numFmt numFmtId="178" formatCode="0.00&quot;㎡&quot;"/>
      <fill>
        <patternFill patternType="none">
          <fgColor indexed="64"/>
          <bgColor indexed="65"/>
        </patternFill>
      </fill>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numFmt numFmtId="179" formatCode="0.0_ "/>
      <fill>
        <patternFill patternType="none">
          <fgColor indexed="64"/>
          <bgColor indexed="65"/>
        </patternFill>
      </fill>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alignment horizontal="right"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8"/>
        <color theme="1"/>
        <name val="游ゴシック"/>
        <family val="3"/>
        <charset val="128"/>
        <scheme val="minor"/>
      </font>
      <numFmt numFmtId="176" formatCode="#,##0_ "/>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alignment horizontal="right" vertical="center" textRotation="0" wrapText="0" indent="0" justifyLastLine="0" shrinkToFit="0" readingOrder="0"/>
      <border diagonalUp="0" diagonalDown="0" outline="0">
        <left style="thin">
          <color indexed="64"/>
        </left>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0" formatCode="General"/>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numFmt numFmtId="178" formatCode="0.00&quot;㎡&quot;"/>
      <fill>
        <patternFill patternType="none">
          <fgColor indexed="64"/>
          <bgColor indexed="65"/>
        </patternFill>
      </fill>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numFmt numFmtId="179" formatCode="0.0_ "/>
      <fill>
        <patternFill patternType="none">
          <fgColor indexed="64"/>
          <bgColor indexed="65"/>
        </patternFill>
      </fill>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alignment horizontal="right"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8"/>
        <color theme="1"/>
        <name val="游ゴシック"/>
        <family val="3"/>
        <charset val="128"/>
        <scheme val="minor"/>
      </font>
      <numFmt numFmtId="176" formatCode="#,##0_ "/>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alignment horizontal="right" vertical="center" textRotation="0" wrapText="0" indent="0" justifyLastLine="0" shrinkToFit="0" readingOrder="0"/>
      <border diagonalUp="0" diagonalDown="0" outline="0">
        <left style="thin">
          <color indexed="64"/>
        </left>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0" formatCode="General"/>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numFmt numFmtId="178" formatCode="0.00&quot;㎡&quot;"/>
      <fill>
        <patternFill patternType="none">
          <fgColor indexed="64"/>
          <bgColor indexed="65"/>
        </patternFill>
      </fill>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numFmt numFmtId="179" formatCode="0.0_ "/>
      <fill>
        <patternFill patternType="none">
          <fgColor indexed="64"/>
          <bgColor indexed="65"/>
        </patternFill>
      </fill>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alignment horizontal="right"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8"/>
        <color theme="1"/>
        <name val="游ゴシック"/>
        <family val="3"/>
        <charset val="128"/>
        <scheme val="minor"/>
      </font>
      <numFmt numFmtId="176" formatCode="#,##0_ "/>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alignment horizontal="right" vertical="center" textRotation="0" wrapText="0" indent="0" justifyLastLine="0" shrinkToFit="0" readingOrder="0"/>
      <border diagonalUp="0" diagonalDown="0" outline="0">
        <left style="thin">
          <color indexed="64"/>
        </left>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0" formatCode="General"/>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numFmt numFmtId="178" formatCode="0.00&quot;㎡&quot;"/>
      <fill>
        <patternFill patternType="none">
          <fgColor indexed="64"/>
          <bgColor indexed="65"/>
        </patternFill>
      </fill>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numFmt numFmtId="179" formatCode="0.0_ "/>
      <fill>
        <patternFill patternType="none">
          <fgColor indexed="64"/>
          <bgColor indexed="65"/>
        </patternFill>
      </fill>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alignment horizontal="right"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8"/>
        <color theme="1"/>
        <name val="游ゴシック"/>
        <family val="3"/>
        <charset val="128"/>
        <scheme val="minor"/>
      </font>
      <numFmt numFmtId="176" formatCode="#,##0_ "/>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alignment horizontal="right" vertical="center" textRotation="0" wrapText="0" indent="0" justifyLastLine="0" shrinkToFit="0" readingOrder="0"/>
      <border diagonalUp="0" diagonalDown="0" outline="0">
        <left style="thin">
          <color indexed="64"/>
        </left>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border diagonalUp="0" diagonalDown="0" outline="0">
        <left/>
        <right/>
        <top/>
        <bottom/>
      </border>
    </dxf>
    <dxf>
      <font>
        <strike val="0"/>
        <outline val="0"/>
        <shadow val="0"/>
        <u val="none"/>
        <vertAlign val="baseline"/>
        <sz val="8"/>
        <name val="游ゴシック"/>
        <family val="3"/>
        <charset val="128"/>
        <scheme val="minor"/>
      </font>
      <numFmt numFmtId="176" formatCode="#,##0_ "/>
    </dxf>
    <dxf>
      <font>
        <b val="0"/>
        <i val="0"/>
        <strike val="0"/>
        <condense val="0"/>
        <extend val="0"/>
        <outline val="0"/>
        <shadow val="0"/>
        <u val="none"/>
        <vertAlign val="baseline"/>
        <sz val="9"/>
        <color theme="1"/>
        <name val="游ゴシック"/>
        <family val="3"/>
        <charset val="128"/>
        <scheme val="minor"/>
      </font>
      <numFmt numFmtId="176" formatCode="#,##0_ "/>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0" formatCode="General"/>
      <fill>
        <patternFill patternType="none">
          <fgColor indexed="64"/>
          <bgColor indexed="65"/>
        </patternFill>
      </fill>
      <border diagonalUp="0" diagonalDown="0" outline="0">
        <left/>
        <right/>
        <top/>
        <bottom/>
      </border>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border diagonalUp="0" diagonalDown="0" outline="0">
        <left/>
        <right/>
        <top/>
        <bottom/>
      </border>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border diagonalUp="0" diagonalDown="0" outline="0">
        <left/>
        <right/>
        <top/>
        <bottom/>
      </border>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border diagonalUp="0" diagonalDown="0" outline="0">
        <left/>
        <right/>
        <top/>
        <bottom/>
      </border>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border diagonalUp="0" diagonalDown="0" outline="0">
        <left/>
        <right/>
        <top/>
        <bottom/>
      </border>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alignment horizontal="right" vertical="center" textRotation="0" wrapText="0" indent="0" justifyLastLine="0" shrinkToFit="1" readingOrder="0"/>
      <border diagonalUp="0" diagonalDown="0" outline="0">
        <left/>
        <right/>
        <top/>
        <bottom/>
      </border>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alignment horizontal="right" vertical="center" textRotation="0" wrapText="0" indent="0" justifyLastLine="0" shrinkToFit="0" readingOrder="0"/>
      <border diagonalUp="0" diagonalDown="0" outline="0">
        <left style="thin">
          <color indexed="64"/>
        </left>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border diagonalUp="0" diagonalDown="0" outline="0">
        <left/>
        <right/>
        <top/>
        <bottom/>
      </border>
    </dxf>
    <dxf>
      <font>
        <strike val="0"/>
        <outline val="0"/>
        <shadow val="0"/>
        <u val="none"/>
        <vertAlign val="baseline"/>
        <sz val="8"/>
        <name val="游ゴシック"/>
        <family val="3"/>
        <charset val="128"/>
        <scheme val="minor"/>
      </font>
      <numFmt numFmtId="176" formatCode="#,##0_ "/>
    </dxf>
    <dxf>
      <font>
        <b val="0"/>
        <i val="0"/>
        <strike val="0"/>
        <condense val="0"/>
        <extend val="0"/>
        <outline val="0"/>
        <shadow val="0"/>
        <u val="none"/>
        <vertAlign val="baseline"/>
        <sz val="9"/>
        <color theme="1"/>
        <name val="游ゴシック"/>
        <family val="3"/>
        <charset val="128"/>
        <scheme val="minor"/>
      </font>
      <numFmt numFmtId="176" formatCode="#,##0_ "/>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0" formatCode="General"/>
      <fill>
        <patternFill patternType="none">
          <fgColor indexed="64"/>
          <bgColor indexed="65"/>
        </patternFill>
      </fill>
      <border diagonalUp="0" diagonalDown="0" outline="0">
        <left/>
        <right/>
        <top/>
        <bottom/>
      </border>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border diagonalUp="0" diagonalDown="0" outline="0">
        <left/>
        <right/>
        <top/>
        <bottom/>
      </border>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border diagonalUp="0" diagonalDown="0" outline="0">
        <left/>
        <right/>
        <top/>
        <bottom/>
      </border>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border diagonalUp="0" diagonalDown="0" outline="0">
        <left/>
        <right/>
        <top/>
        <bottom/>
      </border>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border diagonalUp="0" diagonalDown="0" outline="0">
        <left/>
        <right/>
        <top/>
        <bottom/>
      </border>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alignment horizontal="right" vertical="center" textRotation="0" wrapText="0" indent="0" justifyLastLine="0" shrinkToFit="1" readingOrder="0"/>
      <border diagonalUp="0" diagonalDown="0" outline="0">
        <left/>
        <right/>
        <top/>
        <bottom/>
      </border>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alignment horizontal="right" vertical="center" textRotation="0" wrapText="0" indent="0" justifyLastLine="0" shrinkToFit="0" readingOrder="0"/>
      <border diagonalUp="0" diagonalDown="0" outline="0">
        <left style="thin">
          <color indexed="64"/>
        </left>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176" formatCode="#,##0_ "/>
      <fill>
        <patternFill patternType="none">
          <fgColor indexed="64"/>
          <bgColor indexed="65"/>
        </patternFill>
      </fill>
      <border diagonalUp="0" diagonalDown="0" outline="0">
        <left/>
        <right/>
        <top/>
        <bottom/>
      </border>
    </dxf>
    <dxf>
      <font>
        <strike val="0"/>
        <outline val="0"/>
        <shadow val="0"/>
        <u val="none"/>
        <vertAlign val="baseline"/>
        <sz val="8"/>
        <name val="游ゴシック"/>
        <family val="3"/>
        <charset val="128"/>
        <scheme val="minor"/>
      </font>
      <numFmt numFmtId="176" formatCode="#,##0_ "/>
    </dxf>
    <dxf>
      <font>
        <b val="0"/>
        <i val="0"/>
        <strike val="0"/>
        <condense val="0"/>
        <extend val="0"/>
        <outline val="0"/>
        <shadow val="0"/>
        <u val="none"/>
        <vertAlign val="baseline"/>
        <sz val="9"/>
        <color rgb="FF0070C0"/>
        <name val="游ゴシック"/>
        <family val="3"/>
        <charset val="128"/>
        <scheme val="minor"/>
      </font>
      <numFmt numFmtId="176" formatCode="#,##0_ "/>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border diagonalUp="0" diagonalDown="0" outline="0">
        <left/>
        <right/>
        <top/>
        <bottom/>
      </border>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rgb="FF0070C0"/>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border diagonalUp="0" diagonalDown="0" outline="0">
        <left/>
        <right/>
        <top/>
        <bottom/>
      </border>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rgb="FF0070C0"/>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border diagonalUp="0" diagonalDown="0" outline="0">
        <left/>
        <right/>
        <top/>
        <bottom/>
      </border>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rgb="FF0070C0"/>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border diagonalUp="0" diagonalDown="0" outline="0">
        <left/>
        <right/>
        <top/>
        <bottom/>
      </border>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border diagonalUp="0" diagonalDown="0" outline="0">
        <left/>
        <right/>
        <top/>
        <bottom/>
      </border>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alignment horizontal="right" vertical="center" textRotation="0" wrapText="0" indent="0" justifyLastLine="0" shrinkToFit="1" readingOrder="0"/>
      <border diagonalUp="0" diagonalDown="0" outline="0">
        <left/>
        <right/>
        <top/>
        <bottom/>
      </border>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alignment horizontal="right" vertical="center" textRotation="0" wrapText="0" indent="0" justifyLastLine="0" shrinkToFit="0" readingOrder="0"/>
      <border diagonalUp="0" diagonalDown="0" outline="0">
        <left style="thin">
          <color indexed="64"/>
        </left>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176" formatCode="#,##0_ "/>
      <fill>
        <patternFill patternType="none">
          <fgColor indexed="64"/>
          <bgColor indexed="65"/>
        </patternFill>
      </fill>
    </dxf>
    <dxf>
      <font>
        <strike val="0"/>
        <outline val="0"/>
        <shadow val="0"/>
        <u val="none"/>
        <vertAlign val="baseline"/>
        <sz val="8"/>
        <name val="游ゴシック"/>
        <family val="3"/>
        <charset val="128"/>
        <scheme val="minor"/>
      </font>
      <numFmt numFmtId="6" formatCode="#,##0;[Red]\-#,##0"/>
    </dxf>
    <dxf>
      <font>
        <b val="0"/>
        <i val="0"/>
        <strike val="0"/>
        <condense val="0"/>
        <extend val="0"/>
        <outline val="0"/>
        <shadow val="0"/>
        <u val="none"/>
        <vertAlign val="baseline"/>
        <sz val="9"/>
        <color rgb="FF0070C0"/>
        <name val="游ゴシック"/>
        <family val="3"/>
        <charset val="128"/>
        <scheme val="minor"/>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0" formatCode="General"/>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rgb="FF0070C0"/>
        <name val="游ゴシック"/>
        <family val="3"/>
        <charset val="128"/>
        <scheme val="minor"/>
      </font>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rgb="FF0070C0"/>
        <name val="游ゴシック"/>
        <family val="3"/>
        <charset val="128"/>
        <scheme val="minor"/>
      </font>
      <fill>
        <patternFill patternType="none">
          <fgColor indexed="64"/>
          <bgColor indexed="65"/>
        </patternFill>
      </fill>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rgb="FF0070C0"/>
        <name val="游ゴシック"/>
        <family val="3"/>
        <charset val="128"/>
        <scheme val="minor"/>
      </font>
      <fill>
        <patternFill patternType="none">
          <fgColor indexed="64"/>
          <bgColor indexed="65"/>
        </patternFill>
      </fill>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rgb="FF0070C0"/>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rgb="FF0070C0"/>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fill>
        <patternFill patternType="none">
          <fgColor indexed="64"/>
          <bgColor indexed="65"/>
        </patternFill>
      </fill>
      <alignment horizontal="right"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10"/>
        <color theme="1"/>
        <name val="游ゴシック"/>
        <family val="3"/>
        <charset val="128"/>
        <scheme val="minor"/>
      </font>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8"/>
        <color theme="1"/>
        <name val="游ゴシック"/>
        <family val="3"/>
        <charset val="128"/>
        <scheme val="minor"/>
      </font>
      <alignment horizontal="right" vertical="center" textRotation="0" wrapText="0" indent="0" justifyLastLine="0" shrinkToFit="0" readingOrder="0"/>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alignment horizontal="right" vertical="center" textRotation="0" wrapText="0" indent="0" justifyLastLine="0" shrinkToFit="0" readingOrder="0"/>
      <border diagonalUp="0" diagonalDown="0" outline="0">
        <left style="thin">
          <color indexed="64"/>
        </left>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176" formatCode="#,##0_ "/>
    </dxf>
    <dxf>
      <font>
        <strike val="0"/>
        <outline val="0"/>
        <shadow val="0"/>
        <u val="none"/>
        <vertAlign val="baseline"/>
        <sz val="8"/>
        <name val="游ゴシック"/>
        <family val="3"/>
        <charset val="128"/>
        <scheme val="minor"/>
      </font>
      <numFmt numFmtId="176" formatCode="#,##0_ "/>
    </dxf>
    <dxf>
      <font>
        <b val="0"/>
        <i val="0"/>
        <strike val="0"/>
        <condense val="0"/>
        <extend val="0"/>
        <outline val="0"/>
        <shadow val="0"/>
        <u val="none"/>
        <vertAlign val="baseline"/>
        <sz val="9"/>
        <color rgb="FF0070C0"/>
        <name val="游ゴシック"/>
        <family val="3"/>
        <charset val="128"/>
        <scheme val="minor"/>
      </font>
      <numFmt numFmtId="176" formatCode="#,##0_ "/>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0" formatCode="Genera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rgb="FF0070C0"/>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rgb="FF0070C0"/>
        <name val="游ゴシック"/>
        <family val="3"/>
        <charset val="128"/>
        <scheme val="minor"/>
      </font>
      <numFmt numFmtId="176" formatCode="#,##0_ "/>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rgb="FF0070C0"/>
        <name val="游ゴシック"/>
        <family val="3"/>
        <charset val="128"/>
        <scheme val="minor"/>
      </font>
      <numFmt numFmtId="176" formatCode="#,##0_ "/>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horizontal="right"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10"/>
        <color theme="1"/>
        <name val="游ゴシック"/>
        <family val="3"/>
        <charset val="128"/>
        <scheme val="minor"/>
      </font>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b/>
        <i val="0"/>
        <strike val="0"/>
        <condense val="0"/>
        <extend val="0"/>
        <outline val="0"/>
        <shadow val="0"/>
        <u val="none"/>
        <vertAlign val="baseline"/>
        <sz val="8"/>
        <color rgb="FFFF0000"/>
        <name val="游ゴシック"/>
        <family val="3"/>
        <charset val="128"/>
        <scheme val="minor"/>
      </font>
      <alignment horizontal="right" vertical="center" textRotation="0" wrapText="0" indent="0" justifyLastLine="0" shrinkToFit="0" readingOrder="0"/>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border diagonalUp="0" diagonalDown="0" outline="0">
        <left style="thin">
          <color indexed="64"/>
        </left>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numFmt numFmtId="176" formatCode="#,##0_ "/>
    </dxf>
    <dxf>
      <font>
        <b val="0"/>
        <i val="0"/>
        <strike val="0"/>
        <condense val="0"/>
        <extend val="0"/>
        <outline val="0"/>
        <shadow val="0"/>
        <u val="none"/>
        <vertAlign val="baseline"/>
        <sz val="9"/>
        <color theme="1"/>
        <name val="游ゴシック"/>
        <family val="3"/>
        <charset val="128"/>
        <scheme val="minor"/>
      </font>
      <numFmt numFmtId="176" formatCode="#,##0_ "/>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0" formatCode="Genera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horizontal="right"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10"/>
        <color theme="1"/>
        <name val="游ゴシック"/>
        <family val="3"/>
        <charset val="128"/>
        <scheme val="minor"/>
      </font>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b/>
        <i val="0"/>
        <strike val="0"/>
        <condense val="0"/>
        <extend val="0"/>
        <outline val="0"/>
        <shadow val="0"/>
        <u val="none"/>
        <vertAlign val="baseline"/>
        <sz val="8"/>
        <color rgb="FFFF0000"/>
        <name val="游ゴシック"/>
        <family val="3"/>
        <charset val="128"/>
        <scheme val="minor"/>
      </font>
      <numFmt numFmtId="182" formatCode="0_);[Red]\(0\)"/>
      <alignment horizontal="right" vertical="center" textRotation="0" wrapText="0" indent="0" justifyLastLine="0" shrinkToFit="0" readingOrder="0"/>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fill>
        <patternFill patternType="solid">
          <fgColor indexed="64"/>
          <bgColor theme="0" tint="-4.9989318521683403E-2"/>
        </patternFill>
      </fill>
      <border diagonalUp="0" diagonalDown="0" outline="0">
        <left style="thin">
          <color indexed="64"/>
        </left>
        <right/>
        <top/>
        <bottom style="thin">
          <color indexed="64"/>
        </bottom>
      </border>
    </dxf>
    <dxf>
      <font>
        <b val="0"/>
        <i val="0"/>
        <strike val="0"/>
        <condense val="0"/>
        <extend val="0"/>
        <outline val="0"/>
        <shadow val="0"/>
        <u val="none"/>
        <vertAlign val="baseline"/>
        <sz val="8"/>
        <color theme="1"/>
        <name val="游ゴシック"/>
        <family val="3"/>
        <charset val="128"/>
        <scheme val="minor"/>
      </font>
      <numFmt numFmtId="176" formatCode="#,##0_ "/>
    </dxf>
    <dxf>
      <font>
        <strike val="0"/>
        <outline val="0"/>
        <shadow val="0"/>
        <u val="none"/>
        <vertAlign val="baseline"/>
        <sz val="8"/>
        <name val="游ゴシック"/>
        <family val="3"/>
        <charset val="128"/>
        <scheme val="minor"/>
      </font>
      <numFmt numFmtId="176" formatCode="#,##0_ "/>
    </dxf>
    <dxf>
      <font>
        <b val="0"/>
        <i val="0"/>
        <strike val="0"/>
        <condense val="0"/>
        <extend val="0"/>
        <outline val="0"/>
        <shadow val="0"/>
        <u val="none"/>
        <vertAlign val="baseline"/>
        <sz val="9"/>
        <color theme="1"/>
        <name val="游ゴシック"/>
        <family val="3"/>
        <charset val="128"/>
        <scheme val="minor"/>
      </font>
      <numFmt numFmtId="176" formatCode="#,##0_ "/>
      <fill>
        <patternFill patternType="solid">
          <fgColor indexed="64"/>
          <bgColor theme="0" tint="-4.9989318521683403E-2"/>
        </patternFill>
      </fill>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8"/>
        <color theme="1"/>
        <name val="游ゴシック"/>
        <family val="3"/>
        <charset val="128"/>
        <scheme val="minor"/>
      </font>
      <numFmt numFmtId="0" formatCode="General"/>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fill>
        <patternFill patternType="solid">
          <fgColor indexed="64"/>
          <bgColor theme="0" tint="-4.9989318521683403E-2"/>
        </patternFill>
      </fill>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fill>
        <patternFill patternType="solid">
          <fgColor indexed="64"/>
          <bgColor theme="0" tint="-4.9989318521683403E-2"/>
        </patternFill>
      </fill>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fill>
        <patternFill patternType="solid">
          <fgColor indexed="64"/>
          <bgColor theme="0" tint="-4.9989318521683403E-2"/>
        </patternFill>
      </fill>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fill>
        <patternFill patternType="solid">
          <fgColor indexed="64"/>
          <bgColor theme="0" tint="-4.9989318521683403E-2"/>
        </patternFill>
      </fill>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fill>
        <patternFill patternType="solid">
          <fgColor indexed="64"/>
          <bgColor theme="0" tint="-4.9989318521683403E-2"/>
        </patternFill>
      </fill>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8"/>
        <color theme="1"/>
        <name val="游ゴシック"/>
        <family val="3"/>
        <charset val="128"/>
        <scheme val="minor"/>
      </font>
      <alignment horizontal="right"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fill>
        <patternFill patternType="solid">
          <fgColor indexed="64"/>
          <bgColor theme="0" tint="-4.9989318521683403E-2"/>
        </patternFill>
      </fill>
      <border diagonalUp="0" diagonalDown="0" outline="0">
        <left style="thin">
          <color indexed="64"/>
        </left>
        <right style="thin">
          <color indexed="64"/>
        </right>
        <top/>
        <bottom/>
      </border>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strike val="0"/>
        <outline val="0"/>
        <shadow val="0"/>
        <u val="none"/>
        <vertAlign val="baseline"/>
        <sz val="8"/>
        <name val="游ゴシック"/>
        <family val="3"/>
        <charset val="128"/>
        <scheme val="minor"/>
      </font>
    </dxf>
    <dxf>
      <font>
        <b/>
        <i val="0"/>
        <strike val="0"/>
        <condense val="0"/>
        <extend val="0"/>
        <outline val="0"/>
        <shadow val="0"/>
        <u val="none"/>
        <vertAlign val="baseline"/>
        <sz val="8"/>
        <color rgb="FFFF0000"/>
        <name val="游ゴシック"/>
        <family val="3"/>
        <charset val="128"/>
        <scheme val="minor"/>
      </font>
      <numFmt numFmtId="176" formatCode="#,##0_ "/>
      <alignment horizontal="right" vertical="center" textRotation="0" wrapText="0" indent="0" justifyLastLine="0" shrinkToFit="0" readingOrder="0"/>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alignment horizontal="right" vertical="center" textRotation="0" wrapText="0" indent="0" justifyLastLine="0" shrinkToFit="0" readingOrder="0"/>
      <border diagonalUp="0" diagonalDown="0" outline="0">
        <left style="thin">
          <color indexed="64"/>
        </left>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176" formatCode="#,##0_ "/>
    </dxf>
    <dxf>
      <font>
        <strike val="0"/>
        <outline val="0"/>
        <shadow val="0"/>
        <u val="none"/>
        <vertAlign val="baseline"/>
        <sz val="8"/>
        <name val="游ゴシック"/>
        <family val="3"/>
        <charset val="128"/>
        <scheme val="minor"/>
      </font>
      <numFmt numFmtId="6" formatCode="#,##0;[Red]\-#,##0"/>
    </dxf>
    <dxf>
      <font>
        <b val="0"/>
        <i val="0"/>
        <strike val="0"/>
        <condense val="0"/>
        <extend val="0"/>
        <outline val="0"/>
        <shadow val="0"/>
        <u val="none"/>
        <vertAlign val="baseline"/>
        <sz val="9"/>
        <color auto="1"/>
        <name val="游ゴシック"/>
        <family val="3"/>
        <charset val="128"/>
        <scheme val="minor"/>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numFmt numFmtId="178" formatCode="0.00&quot;㎡&quot;"/>
      <fill>
        <patternFill patternType="none">
          <fgColor indexed="64"/>
          <bgColor indexed="65"/>
        </patternFill>
      </fill>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numFmt numFmtId="179" formatCode="0.0_ "/>
      <fill>
        <patternFill patternType="none">
          <fgColor indexed="64"/>
          <bgColor indexed="65"/>
        </patternFill>
      </fill>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horizontal="right"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minor"/>
      </font>
    </dxf>
    <dxf>
      <font>
        <b/>
        <i val="0"/>
        <strike val="0"/>
        <condense val="0"/>
        <extend val="0"/>
        <outline val="0"/>
        <shadow val="0"/>
        <u val="none"/>
        <vertAlign val="baseline"/>
        <sz val="8"/>
        <color rgb="FFFF0000"/>
        <name val="游ゴシック"/>
        <family val="3"/>
        <charset val="128"/>
        <scheme val="minor"/>
      </font>
      <numFmt numFmtId="176" formatCode="#,##0_ "/>
      <alignment horizontal="right" vertical="center" textRotation="0" wrapText="0" indent="0" justifyLastLine="0" shrinkToFit="0" readingOrder="0"/>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alignment horizontal="right" vertical="center" textRotation="0" wrapText="0" indent="0" justifyLastLine="0" shrinkToFit="0" readingOrder="0"/>
      <border diagonalUp="0" diagonalDown="0" outline="0">
        <left style="thin">
          <color indexed="64"/>
        </left>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176" formatCode="#,##0_ "/>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numFmt numFmtId="178" formatCode="0.00&quot;㎡&quot;"/>
      <fill>
        <patternFill patternType="none">
          <fgColor indexed="64"/>
          <bgColor indexed="65"/>
        </patternFill>
      </fill>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numFmt numFmtId="182" formatCode="0_);[Red]\(0\)"/>
    </dxf>
    <dxf>
      <font>
        <b val="0"/>
        <i val="0"/>
        <strike val="0"/>
        <condense val="0"/>
        <extend val="0"/>
        <outline val="0"/>
        <shadow val="0"/>
        <u val="none"/>
        <vertAlign val="baseline"/>
        <sz val="9"/>
        <color auto="1"/>
        <name val="游ゴシック"/>
        <family val="3"/>
        <charset val="128"/>
        <scheme val="minor"/>
      </font>
      <numFmt numFmtId="179" formatCode="0.0_ "/>
      <fill>
        <patternFill patternType="none">
          <fgColor indexed="64"/>
          <bgColor indexed="65"/>
        </patternFill>
      </fill>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horizontal="right"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minor"/>
      </font>
    </dxf>
    <dxf>
      <font>
        <b/>
        <i val="0"/>
        <strike val="0"/>
        <condense val="0"/>
        <extend val="0"/>
        <outline val="0"/>
        <shadow val="0"/>
        <u val="none"/>
        <vertAlign val="baseline"/>
        <sz val="8"/>
        <color rgb="FFFF0000"/>
        <name val="游ゴシック"/>
        <family val="3"/>
        <charset val="128"/>
        <scheme val="minor"/>
      </font>
      <numFmt numFmtId="176" formatCode="#,##0_ "/>
      <alignment horizontal="right" vertical="center" textRotation="0" wrapText="0" indent="0" justifyLastLine="0" shrinkToFit="0" readingOrder="0"/>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alignment horizontal="right" vertical="center" textRotation="0" wrapText="0" indent="0" justifyLastLine="0" shrinkToFit="0" readingOrder="0"/>
      <border diagonalUp="0" diagonalDown="0" outline="0">
        <left style="thin">
          <color indexed="64"/>
        </left>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numFmt numFmtId="6" formatCode="#,##0;[Red]\-#,##0"/>
    </dxf>
    <dxf>
      <font>
        <b val="0"/>
        <i val="0"/>
        <strike val="0"/>
        <condense val="0"/>
        <extend val="0"/>
        <outline val="0"/>
        <shadow val="0"/>
        <u val="none"/>
        <vertAlign val="baseline"/>
        <sz val="9"/>
        <color auto="1"/>
        <name val="游ゴシック"/>
        <family val="3"/>
        <charset val="128"/>
        <scheme val="minor"/>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numFmt numFmtId="6" formatCode="#,##0;[Red]\-#,##0"/>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numFmt numFmtId="178" formatCode="0.00&quot;㎡&quot;"/>
      <fill>
        <patternFill patternType="none">
          <fgColor indexed="64"/>
          <bgColor indexed="65"/>
        </patternFill>
      </fill>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182" formatCode="0_);[Red]\(0\)"/>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numFmt numFmtId="179" formatCode="0.0_ "/>
      <fill>
        <patternFill patternType="none">
          <fgColor indexed="64"/>
          <bgColor indexed="65"/>
        </patternFill>
      </fill>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alignment vertical="center" textRotation="0" wrapText="0" justifyLastLine="0" shrinkToFit="1" readingOrder="0"/>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horizontal="right"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minor"/>
      </font>
    </dxf>
    <dxf>
      <font>
        <b/>
        <i val="0"/>
        <strike val="0"/>
        <condense val="0"/>
        <extend val="0"/>
        <outline val="0"/>
        <shadow val="0"/>
        <u val="none"/>
        <vertAlign val="baseline"/>
        <sz val="8"/>
        <color rgb="FFFF0000"/>
        <name val="游ゴシック"/>
        <family val="3"/>
        <charset val="128"/>
        <scheme val="minor"/>
      </font>
      <numFmt numFmtId="176" formatCode="#,##0_ "/>
      <alignment horizontal="right" vertical="center" textRotation="0" wrapText="0" indent="0" justifyLastLine="0" shrinkToFit="0" readingOrder="0"/>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alignment horizontal="right" vertical="center" textRotation="0" wrapText="0" indent="0" justifyLastLine="0" shrinkToFit="0" readingOrder="0"/>
      <border diagonalUp="0" diagonalDown="0" outline="0">
        <left style="thin">
          <color indexed="64"/>
        </left>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176" formatCode="#,##0_ "/>
    </dxf>
    <dxf>
      <font>
        <strike val="0"/>
        <outline val="0"/>
        <shadow val="0"/>
        <u val="none"/>
        <vertAlign val="baseline"/>
        <sz val="8"/>
        <name val="游ゴシック"/>
        <family val="3"/>
        <charset val="128"/>
        <scheme val="minor"/>
      </font>
      <numFmt numFmtId="6" formatCode="#,##0;[Red]\-#,##0"/>
    </dxf>
    <dxf>
      <font>
        <b val="0"/>
        <i val="0"/>
        <strike val="0"/>
        <condense val="0"/>
        <extend val="0"/>
        <outline val="0"/>
        <shadow val="0"/>
        <u val="none"/>
        <vertAlign val="baseline"/>
        <sz val="9"/>
        <color auto="1"/>
        <name val="游ゴシック"/>
        <family val="3"/>
        <charset val="128"/>
        <scheme val="minor"/>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numFmt numFmtId="178" formatCode="0.00&quot;㎡&quot;"/>
      <fill>
        <patternFill patternType="none">
          <fgColor indexed="64"/>
          <bgColor indexed="65"/>
        </patternFill>
      </fill>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numFmt numFmtId="179" formatCode="0.0_ "/>
      <fill>
        <patternFill patternType="none">
          <fgColor indexed="64"/>
          <bgColor indexed="65"/>
        </patternFill>
      </fill>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horizontal="right"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8"/>
        <color theme="1"/>
        <name val="游ゴシック"/>
        <family val="3"/>
        <charset val="128"/>
        <scheme val="minor"/>
      </font>
      <numFmt numFmtId="176" formatCode="#,##0_ "/>
      <alignment horizontal="right" vertical="center" textRotation="0" wrapText="0" indent="0" justifyLastLine="0" shrinkToFit="0" readingOrder="0"/>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alignment horizontal="right" vertical="center" textRotation="0" wrapText="0" indent="0" justifyLastLine="0" shrinkToFit="0" readingOrder="0"/>
      <border diagonalUp="0" diagonalDown="0" outline="0">
        <left style="thin">
          <color indexed="64"/>
        </left>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176" formatCode="#,##0_ "/>
    </dxf>
    <dxf>
      <font>
        <strike val="0"/>
        <outline val="0"/>
        <shadow val="0"/>
        <u val="none"/>
        <vertAlign val="baseline"/>
        <sz val="8"/>
        <name val="游ゴシック"/>
        <family val="3"/>
        <charset val="128"/>
        <scheme val="minor"/>
      </font>
      <numFmt numFmtId="182" formatCode="0_);[Red]\(0\)"/>
    </dxf>
    <dxf>
      <font>
        <b val="0"/>
        <i val="0"/>
        <strike val="0"/>
        <condense val="0"/>
        <extend val="0"/>
        <outline val="0"/>
        <shadow val="0"/>
        <u val="none"/>
        <vertAlign val="baseline"/>
        <sz val="9"/>
        <color auto="1"/>
        <name val="游ゴシック"/>
        <family val="3"/>
        <charset val="128"/>
        <scheme val="minor"/>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numFmt numFmtId="178" formatCode="0.00&quot;㎡&quot;"/>
      <fill>
        <patternFill patternType="none">
          <fgColor indexed="64"/>
          <bgColor indexed="65"/>
        </patternFill>
      </fill>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auto="1"/>
        <name val="游ゴシック"/>
        <family val="3"/>
        <charset val="128"/>
        <scheme val="minor"/>
      </font>
      <numFmt numFmtId="179" formatCode="0.0_ "/>
      <fill>
        <patternFill patternType="none">
          <fgColor indexed="64"/>
          <bgColor indexed="65"/>
        </patternFill>
      </fill>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auto="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horizontal="right"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minor"/>
      </font>
    </dxf>
    <dxf>
      <font>
        <b/>
        <i val="0"/>
        <strike val="0"/>
        <condense val="0"/>
        <extend val="0"/>
        <outline val="0"/>
        <shadow val="0"/>
        <u val="none"/>
        <vertAlign val="baseline"/>
        <sz val="8"/>
        <color rgb="FFFF0000"/>
        <name val="游ゴシック"/>
        <family val="3"/>
        <charset val="128"/>
        <scheme val="minor"/>
      </font>
      <numFmt numFmtId="176" formatCode="#,##0_ "/>
      <alignment horizontal="right" vertical="center" textRotation="0" wrapText="0" indent="0" justifyLastLine="0" shrinkToFit="0" readingOrder="0"/>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alignment horizontal="right" vertical="center" textRotation="0" wrapText="0" indent="0" justifyLastLine="0" shrinkToFit="0" readingOrder="0"/>
      <border diagonalUp="0" diagonalDown="0" outline="0">
        <left style="thin">
          <color indexed="64"/>
        </left>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185" formatCode="&quot;(&quot;#,##0_ &quot;)&quot;"/>
    </dxf>
    <dxf>
      <font>
        <strike val="0"/>
        <outline val="0"/>
        <shadow val="0"/>
        <u val="none"/>
        <vertAlign val="baseline"/>
        <sz val="8"/>
        <name val="游ゴシック"/>
        <family val="3"/>
        <charset val="128"/>
        <scheme val="minor"/>
      </font>
      <numFmt numFmtId="176" formatCode="#,##0_ "/>
    </dxf>
    <dxf>
      <font>
        <b val="0"/>
        <i val="0"/>
        <strike val="0"/>
        <condense val="0"/>
        <extend val="0"/>
        <outline val="0"/>
        <shadow val="0"/>
        <u val="none"/>
        <vertAlign val="baseline"/>
        <sz val="9"/>
        <color theme="1"/>
        <name val="游ゴシック"/>
        <family val="3"/>
        <charset val="128"/>
        <scheme val="minor"/>
      </font>
      <numFmt numFmtId="176" formatCode="#,##0_ "/>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fill>
        <patternFill patternType="none">
          <fgColor indexed="64"/>
          <bgColor indexed="65"/>
        </patternFill>
      </fill>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horizontal="right"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minor"/>
      </font>
    </dxf>
    <dxf>
      <font>
        <b/>
        <i val="0"/>
        <strike val="0"/>
        <condense val="0"/>
        <extend val="0"/>
        <outline val="0"/>
        <shadow val="0"/>
        <u val="none"/>
        <vertAlign val="baseline"/>
        <sz val="8"/>
        <color rgb="FFFF0000"/>
        <name val="游ゴシック"/>
        <family val="3"/>
        <charset val="128"/>
        <scheme val="minor"/>
      </font>
      <numFmt numFmtId="3" formatCode="#,##0"/>
      <alignment horizontal="right" vertical="center" textRotation="0" wrapText="0" indent="0" justifyLastLine="0" shrinkToFit="0" readingOrder="0"/>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alignment horizontal="right" vertical="center" textRotation="0" wrapText="0" indent="0" justifyLastLine="0" shrinkToFit="0" readingOrder="0"/>
      <border diagonalUp="0" diagonalDown="0" outline="0">
        <left style="thin">
          <color indexed="64"/>
        </left>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176" formatCode="#,##0_ "/>
    </dxf>
    <dxf>
      <font>
        <strike val="0"/>
        <outline val="0"/>
        <shadow val="0"/>
        <u val="none"/>
        <vertAlign val="baseline"/>
        <sz val="8"/>
        <name val="游ゴシック"/>
        <family val="3"/>
        <charset val="128"/>
        <scheme val="minor"/>
      </font>
      <numFmt numFmtId="176" formatCode="#,##0_ "/>
    </dxf>
    <dxf>
      <font>
        <b val="0"/>
        <i val="0"/>
        <strike val="0"/>
        <condense val="0"/>
        <extend val="0"/>
        <outline val="0"/>
        <shadow val="0"/>
        <u val="none"/>
        <vertAlign val="baseline"/>
        <sz val="9"/>
        <color theme="1"/>
        <name val="游ゴシック"/>
        <family val="3"/>
        <charset val="128"/>
        <scheme val="minor"/>
      </font>
      <numFmt numFmtId="176" formatCode="#,##0_ "/>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numFmt numFmtId="182" formatCode="0_);[Red]\(0\)"/>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horizontal="right"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minor"/>
      </font>
    </dxf>
    <dxf>
      <font>
        <b/>
        <i val="0"/>
        <strike val="0"/>
        <condense val="0"/>
        <extend val="0"/>
        <outline val="0"/>
        <shadow val="0"/>
        <u val="none"/>
        <vertAlign val="baseline"/>
        <sz val="8"/>
        <color rgb="FFFF0000"/>
        <name val="游ゴシック"/>
        <family val="3"/>
        <charset val="128"/>
        <scheme val="minor"/>
      </font>
      <numFmt numFmtId="3" formatCode="#,##0"/>
      <alignment horizontal="right" vertical="center" textRotation="0" wrapText="0" indent="0" justifyLastLine="0" shrinkToFit="0" readingOrder="0"/>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alignment horizontal="right" vertical="center" textRotation="0" wrapText="0" indent="0" justifyLastLine="0" shrinkToFit="0" readingOrder="0"/>
      <border diagonalUp="0" diagonalDown="0" outline="0">
        <left style="thin">
          <color indexed="64"/>
        </left>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176" formatCode="#,##0_ "/>
    </dxf>
    <dxf>
      <font>
        <strike val="0"/>
        <outline val="0"/>
        <shadow val="0"/>
        <u val="none"/>
        <vertAlign val="baseline"/>
        <sz val="8"/>
        <name val="游ゴシック"/>
        <family val="3"/>
        <charset val="128"/>
        <scheme val="minor"/>
      </font>
      <numFmt numFmtId="176" formatCode="#,##0_ "/>
    </dxf>
    <dxf>
      <font>
        <b val="0"/>
        <i val="0"/>
        <strike val="0"/>
        <condense val="0"/>
        <extend val="0"/>
        <outline val="0"/>
        <shadow val="0"/>
        <u val="none"/>
        <vertAlign val="baseline"/>
        <sz val="9"/>
        <color rgb="FF0070C0"/>
        <name val="游ゴシック"/>
        <family val="3"/>
        <charset val="128"/>
        <scheme val="minor"/>
      </font>
      <numFmt numFmtId="176" formatCode="#,##0_ "/>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rgb="FF0070C0"/>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rgb="FF0070C0"/>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numFmt numFmtId="182" formatCode="0_);[Red]\(0\)"/>
    </dxf>
    <dxf>
      <font>
        <b val="0"/>
        <i val="0"/>
        <strike val="0"/>
        <condense val="0"/>
        <extend val="0"/>
        <outline val="0"/>
        <shadow val="0"/>
        <u val="none"/>
        <vertAlign val="baseline"/>
        <sz val="9"/>
        <color rgb="FF0070C0"/>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horizontal="right"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minor"/>
      </font>
    </dxf>
    <dxf>
      <font>
        <b/>
        <i val="0"/>
        <strike val="0"/>
        <condense val="0"/>
        <extend val="0"/>
        <outline val="0"/>
        <shadow val="0"/>
        <u val="none"/>
        <vertAlign val="baseline"/>
        <sz val="8"/>
        <color rgb="FFFF0000"/>
        <name val="游ゴシック"/>
        <family val="3"/>
        <charset val="128"/>
        <scheme val="minor"/>
      </font>
      <alignment horizontal="right" vertical="center" textRotation="0" wrapText="0" indent="0" justifyLastLine="0" shrinkToFit="0" readingOrder="0"/>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alignment horizontal="right" vertical="center" textRotation="0" wrapText="0" indent="0" justifyLastLine="0" shrinkToFit="0" readingOrder="0"/>
      <border diagonalUp="0" diagonalDown="0" outline="0">
        <left style="thin">
          <color indexed="64"/>
        </left>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176" formatCode="#,##0_ "/>
      <alignment horizontal="right" vertical="center" textRotation="0" wrapText="0" indent="0" justifyLastLine="0" shrinkToFit="0" readingOrder="0"/>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rgb="FF0070C0"/>
        <name val="游ゴシック"/>
        <family val="3"/>
        <charset val="128"/>
        <scheme val="minor"/>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rgb="FF0070C0"/>
        <name val="游ゴシック"/>
        <family val="3"/>
        <charset val="128"/>
        <scheme val="minor"/>
      </font>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rgb="FF0070C0"/>
        <name val="游ゴシック"/>
        <family val="3"/>
        <charset val="128"/>
        <scheme val="minor"/>
      </font>
      <fill>
        <patternFill patternType="none">
          <fgColor indexed="64"/>
          <bgColor indexed="65"/>
        </patternFill>
      </fill>
      <border diagonalUp="0" diagonalDown="0" outline="0">
        <left style="thin">
          <color indexed="64"/>
        </left>
        <right style="thin">
          <color indexed="64"/>
        </right>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rgb="FF0070C0"/>
        <name val="游ゴシック"/>
        <family val="3"/>
        <charset val="128"/>
        <scheme val="minor"/>
      </font>
      <fill>
        <patternFill patternType="none">
          <fgColor indexed="64"/>
          <bgColor indexed="65"/>
        </patternFill>
      </fill>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rgb="FF0070C0"/>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rgb="FF0070C0"/>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horizontal="right"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10"/>
        <color theme="1"/>
        <name val="游ゴシック"/>
        <family val="3"/>
        <charset val="128"/>
        <scheme val="minor"/>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minor"/>
      </font>
    </dxf>
    <dxf>
      <font>
        <b/>
        <i val="0"/>
        <strike val="0"/>
        <condense val="0"/>
        <extend val="0"/>
        <outline val="0"/>
        <shadow val="0"/>
        <u val="none"/>
        <vertAlign val="baseline"/>
        <sz val="8"/>
        <color rgb="FFFF0000"/>
        <name val="游ゴシック"/>
        <family val="3"/>
        <charset val="128"/>
        <scheme val="minor"/>
      </font>
      <alignment horizontal="right" vertical="center" textRotation="0" wrapText="0" indent="0" justifyLastLine="0" shrinkToFit="0" readingOrder="0"/>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alignment horizontal="right" vertical="center" textRotation="0" wrapText="0" indent="0" justifyLastLine="0" shrinkToFit="0" readingOrder="0"/>
      <border diagonalUp="0" diagonalDown="0" outline="0">
        <left style="thin">
          <color indexed="64"/>
        </left>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176" formatCode="#,##0_ "/>
    </dxf>
    <dxf>
      <font>
        <strike val="0"/>
        <outline val="0"/>
        <shadow val="0"/>
        <u val="none"/>
        <vertAlign val="baseline"/>
        <sz val="8"/>
        <name val="游ゴシック"/>
        <family val="3"/>
        <charset val="128"/>
        <scheme val="minor"/>
      </font>
      <numFmt numFmtId="176" formatCode="#,##0_ "/>
    </dxf>
    <dxf>
      <font>
        <b val="0"/>
        <i val="0"/>
        <strike val="0"/>
        <condense val="0"/>
        <extend val="0"/>
        <outline val="0"/>
        <shadow val="0"/>
        <u val="none"/>
        <vertAlign val="baseline"/>
        <sz val="9"/>
        <color rgb="FF0070C0"/>
        <name val="游ゴシック"/>
        <family val="3"/>
        <charset val="128"/>
        <scheme val="minor"/>
      </font>
      <numFmt numFmtId="176" formatCode="#,##0_ "/>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rgb="FF0070C0"/>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rgb="FF0070C0"/>
        <name val="游ゴシック"/>
        <family val="3"/>
        <charset val="128"/>
        <scheme val="minor"/>
      </font>
      <numFmt numFmtId="176" formatCode="#,##0_ "/>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numFmt numFmtId="176" formatCode="#,##0_ "/>
    </dxf>
    <dxf>
      <font>
        <b val="0"/>
        <i val="0"/>
        <strike val="0"/>
        <condense val="0"/>
        <extend val="0"/>
        <outline val="0"/>
        <shadow val="0"/>
        <u val="none"/>
        <vertAlign val="baseline"/>
        <sz val="9"/>
        <color rgb="FF0070C0"/>
        <name val="游ゴシック"/>
        <family val="3"/>
        <charset val="128"/>
        <scheme val="minor"/>
      </font>
      <numFmt numFmtId="176" formatCode="#,##0_ "/>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horizontal="right"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10"/>
        <color theme="1"/>
        <name val="游ゴシック"/>
        <family val="3"/>
        <charset val="128"/>
        <scheme val="minor"/>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minor"/>
      </font>
    </dxf>
    <dxf>
      <font>
        <b/>
        <i val="0"/>
        <strike val="0"/>
        <condense val="0"/>
        <extend val="0"/>
        <outline val="0"/>
        <shadow val="0"/>
        <u val="none"/>
        <vertAlign val="baseline"/>
        <sz val="8"/>
        <color rgb="FFFF0000"/>
        <name val="游ゴシック"/>
        <family val="3"/>
        <charset val="128"/>
        <scheme val="minor"/>
      </font>
      <alignment horizontal="right" vertical="center" textRotation="0" wrapText="0" indent="0" justifyLastLine="0" shrinkToFit="0" readingOrder="0"/>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border diagonalUp="0" diagonalDown="0" outline="0">
        <left style="thin">
          <color indexed="64"/>
        </left>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numFmt numFmtId="176" formatCode="#,##0_ "/>
    </dxf>
    <dxf>
      <font>
        <strike val="0"/>
        <outline val="0"/>
        <shadow val="0"/>
        <u val="none"/>
        <vertAlign val="baseline"/>
        <sz val="8"/>
        <name val="游ゴシック"/>
        <family val="3"/>
        <charset val="128"/>
        <scheme val="minor"/>
      </font>
      <numFmt numFmtId="176" formatCode="#,##0_ "/>
    </dxf>
    <dxf>
      <font>
        <b val="0"/>
        <i val="0"/>
        <strike val="0"/>
        <condense val="0"/>
        <extend val="0"/>
        <outline val="0"/>
        <shadow val="0"/>
        <u val="none"/>
        <vertAlign val="baseline"/>
        <sz val="9"/>
        <color theme="1"/>
        <name val="游ゴシック"/>
        <family val="3"/>
        <charset val="128"/>
        <scheme val="minor"/>
      </font>
      <numFmt numFmtId="176" formatCode="#,##0_ "/>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vertical="center" textRotation="0" wrapTex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border diagonalUp="0" diagonalDown="0"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8"/>
        <color theme="1"/>
        <name val="游ゴシック"/>
        <family val="3"/>
        <charset val="128"/>
        <scheme val="minor"/>
      </font>
      <alignment horizontal="right"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10"/>
        <color theme="1"/>
        <name val="游ゴシック"/>
        <family val="3"/>
        <charset val="128"/>
        <scheme val="minor"/>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minor"/>
      </font>
    </dxf>
    <dxf>
      <font>
        <b/>
        <i val="0"/>
        <strike val="0"/>
        <condense val="0"/>
        <extend val="0"/>
        <outline val="0"/>
        <shadow val="0"/>
        <u val="none"/>
        <vertAlign val="baseline"/>
        <sz val="8"/>
        <color rgb="FFFF0000"/>
        <name val="游ゴシック"/>
        <family val="3"/>
        <charset val="128"/>
        <scheme val="minor"/>
      </font>
      <alignment horizontal="right" vertical="center" textRotation="0" wrapText="0" indent="0" justifyLastLine="0" shrinkToFit="0" readingOrder="0"/>
      <border diagonalUp="0" diagonalDown="0" outline="0">
        <left/>
        <right/>
        <top/>
        <bottom/>
      </border>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numFmt numFmtId="176" formatCode="#,##0_ "/>
      <fill>
        <patternFill patternType="solid">
          <fgColor indexed="64"/>
          <bgColor theme="0" tint="-4.9989318521683403E-2"/>
        </patternFill>
      </fill>
      <border diagonalUp="0" diagonalDown="0" outline="0">
        <left style="thin">
          <color indexed="64"/>
        </left>
        <right/>
        <top/>
        <bottom style="thin">
          <color indexed="64"/>
        </bottom>
      </border>
    </dxf>
    <dxf>
      <font>
        <b val="0"/>
        <i val="0"/>
        <strike val="0"/>
        <condense val="0"/>
        <extend val="0"/>
        <outline val="0"/>
        <shadow val="0"/>
        <u val="none"/>
        <vertAlign val="baseline"/>
        <sz val="8"/>
        <color theme="1"/>
        <name val="游ゴシック"/>
        <family val="3"/>
        <charset val="128"/>
        <scheme val="minor"/>
      </font>
      <numFmt numFmtId="176" formatCode="#,##0_ "/>
    </dxf>
    <dxf>
      <font>
        <strike val="0"/>
        <outline val="0"/>
        <shadow val="0"/>
        <u val="none"/>
        <vertAlign val="baseline"/>
        <sz val="8"/>
        <name val="游ゴシック"/>
        <family val="3"/>
        <charset val="128"/>
        <scheme val="minor"/>
      </font>
      <numFmt numFmtId="176" formatCode="#,##0_ "/>
    </dxf>
    <dxf>
      <font>
        <b val="0"/>
        <i val="0"/>
        <strike val="0"/>
        <condense val="0"/>
        <extend val="0"/>
        <outline val="0"/>
        <shadow val="0"/>
        <u val="none"/>
        <vertAlign val="baseline"/>
        <sz val="9"/>
        <color theme="1"/>
        <name val="游ゴシック"/>
        <family val="3"/>
        <charset val="128"/>
        <scheme val="minor"/>
      </font>
      <numFmt numFmtId="176" formatCode="#,##0_ "/>
      <fill>
        <patternFill patternType="solid">
          <fgColor indexed="64"/>
          <bgColor theme="0" tint="-4.9989318521683403E-2"/>
        </patternFill>
      </fill>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fill>
        <patternFill patternType="solid">
          <fgColor indexed="64"/>
          <bgColor theme="0" tint="-4.9989318521683403E-2"/>
        </patternFill>
      </fill>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fill>
        <patternFill patternType="solid">
          <fgColor indexed="64"/>
          <bgColor theme="0" tint="-4.9989318521683403E-2"/>
        </patternFill>
      </fill>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8"/>
        <color theme="1"/>
        <name val="游ゴシック"/>
        <family val="3"/>
        <charset val="128"/>
        <scheme val="minor"/>
      </font>
    </dxf>
    <dxf>
      <font>
        <strike val="0"/>
        <outline val="0"/>
        <shadow val="0"/>
        <u val="none"/>
        <vertAlign val="baseline"/>
        <sz val="8"/>
        <name val="游ゴシック"/>
        <family val="3"/>
        <charset val="128"/>
        <scheme val="minor"/>
      </font>
    </dxf>
    <dxf>
      <font>
        <b val="0"/>
        <i val="0"/>
        <strike val="0"/>
        <condense val="0"/>
        <extend val="0"/>
        <outline val="0"/>
        <shadow val="0"/>
        <u val="none"/>
        <vertAlign val="baseline"/>
        <sz val="9"/>
        <color theme="1"/>
        <name val="游ゴシック"/>
        <family val="3"/>
        <charset val="128"/>
        <scheme val="minor"/>
      </font>
      <fill>
        <patternFill patternType="solid">
          <fgColor indexed="64"/>
          <bgColor theme="0" tint="-4.9989318521683403E-2"/>
        </patternFill>
      </fill>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8"/>
        <color theme="1"/>
        <name val="游ゴシック"/>
        <family val="3"/>
        <charset val="128"/>
        <scheme val="minor"/>
      </font>
      <alignment horizontal="general"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fill>
        <patternFill patternType="solid">
          <fgColor indexed="64"/>
          <bgColor theme="0" tint="-4.9989318521683403E-2"/>
        </patternFill>
      </fill>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8"/>
        <color theme="1"/>
        <name val="游ゴシック"/>
        <family val="3"/>
        <charset val="128"/>
        <scheme val="minor"/>
      </font>
      <alignment horizontal="general"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fill>
        <patternFill patternType="solid">
          <fgColor indexed="64"/>
          <bgColor theme="0" tint="-4.9989318521683403E-2"/>
        </patternFill>
      </fill>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8"/>
        <color theme="1"/>
        <name val="游ゴシック"/>
        <family val="3"/>
        <charset val="128"/>
        <scheme val="minor"/>
      </font>
      <alignment horizontal="right" vertical="center" textRotation="0" wrapText="0" indent="0" justifyLastLine="0" shrinkToFit="1" readingOrder="0"/>
    </dxf>
    <dxf>
      <font>
        <strike val="0"/>
        <outline val="0"/>
        <shadow val="0"/>
        <u val="none"/>
        <vertAlign val="baseline"/>
        <sz val="8"/>
        <name val="游ゴシック"/>
        <family val="3"/>
        <charset val="128"/>
        <scheme val="minor"/>
      </font>
      <alignment vertical="center" textRotation="0" wrapText="0" justifyLastLine="0" shrinkToFit="1" readingOrder="0"/>
    </dxf>
    <dxf>
      <font>
        <b val="0"/>
        <i val="0"/>
        <strike val="0"/>
        <condense val="0"/>
        <extend val="0"/>
        <outline val="0"/>
        <shadow val="0"/>
        <u val="none"/>
        <vertAlign val="baseline"/>
        <sz val="9"/>
        <color theme="1"/>
        <name val="游ゴシック"/>
        <family val="3"/>
        <charset val="128"/>
        <scheme val="minor"/>
      </font>
      <fill>
        <patternFill patternType="solid">
          <fgColor indexed="64"/>
          <bgColor theme="0" tint="-4.9989318521683403E-2"/>
        </patternFill>
      </fill>
      <border diagonalUp="0" diagonalDown="0" outline="0">
        <left style="thin">
          <color indexed="64"/>
        </left>
        <right style="thin">
          <color indexed="64"/>
        </right>
        <top/>
        <bottom/>
      </border>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none"/>
      </font>
    </dxf>
    <dxf>
      <font>
        <strike val="0"/>
        <outline val="0"/>
        <shadow val="0"/>
        <u val="none"/>
        <vertAlign val="baseline"/>
        <sz val="8"/>
        <name val="游ゴシック"/>
        <family val="3"/>
        <charset val="128"/>
        <scheme val="minor"/>
      </font>
    </dxf>
    <dxf>
      <font>
        <b/>
        <i val="0"/>
      </font>
      <fill>
        <patternFill>
          <bgColor theme="0" tint="-0.14996795556505021"/>
        </patternFill>
      </fill>
      <border diagonalUp="0" diagonalDown="0">
        <left/>
        <right style="thin">
          <color auto="1"/>
        </right>
        <top style="thin">
          <color auto="1"/>
        </top>
        <bottom style="thin">
          <color auto="1"/>
        </bottom>
        <vertical/>
        <horizontal/>
      </border>
    </dxf>
    <dxf>
      <border>
        <top style="double">
          <color auto="1"/>
        </top>
        <bottom style="thin">
          <color auto="1"/>
        </bottom>
      </border>
    </dxf>
    <dxf>
      <border>
        <left/>
        <right/>
        <top style="thin">
          <color auto="1"/>
        </top>
        <bottom style="double">
          <color auto="1"/>
        </bottom>
        <vertical style="thin">
          <color auto="1"/>
        </vertical>
        <horizontal style="hair">
          <color auto="1"/>
        </horizontal>
      </border>
    </dxf>
  </dxfs>
  <tableStyles count="1" defaultTableStyle="原価表" defaultPivotStyle="PivotStyleLight16">
    <tableStyle name="原価表" pivot="0" count="3" xr9:uid="{1020FB7D-2D3E-49C8-AE13-281942F2D9CF}">
      <tableStyleElement type="wholeTable" dxfId="623"/>
      <tableStyleElement type="totalRow" dxfId="622"/>
      <tableStyleElement type="firstColumn" dxfId="6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高橋京佑" id="{FFFB667B-FEFF-4DCE-9417-BB5BF043B4E3}" userId="S::keisuke.takahashi@ftesoumu.onmicrosoft.com::1c77faee-3d1c-45de-a081-f985f463998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BAF602-D1B5-4D25-8BC7-63D3EF4780F6}" name="機器" displayName="機器" ref="A7:H11" headerRowCount="0" totalsRowCount="1" headerRowDxfId="296" dataDxfId="295" totalsRowDxfId="294">
  <tableColumns count="8">
    <tableColumn id="9" xr3:uid="{6335D7F1-1D54-496C-9C6D-675DCCBA5471}" name="列9" totalsRowLabel="小計" headerRowDxfId="293" dataDxfId="292" totalsRowDxfId="291" headerRowCellStyle="桁区切り"/>
    <tableColumn id="2" xr3:uid="{3EC89DA8-9755-4ECE-BDAE-28DB6DCCBF99}" name="列2" headerRowDxfId="290" dataDxfId="289" totalsRowDxfId="288"/>
    <tableColumn id="3" xr3:uid="{B180139F-8123-4D14-ABBA-3BFADF03AA77}" name="列3" headerRowDxfId="287" dataDxfId="286" totalsRowDxfId="285"/>
    <tableColumn id="4" xr3:uid="{D11237E7-A09A-4449-8154-F4C6A8C2018C}" name="列4" headerRowDxfId="284" dataDxfId="283" totalsRowDxfId="282"/>
    <tableColumn id="5" xr3:uid="{61BB1534-0F05-4092-A5C6-5182F8E21A31}" name="列5" headerRowDxfId="281" dataDxfId="280" totalsRowDxfId="279"/>
    <tableColumn id="6" xr3:uid="{802401FF-BC4B-4042-AFA0-058C9F30F318}" name="列6" headerRowDxfId="278" dataDxfId="277" totalsRowDxfId="276" headerRowCellStyle="桁区切り"/>
    <tableColumn id="7" xr3:uid="{D940A9CC-9304-4E0E-972F-0DC42B487797}" name="列7" totalsRowFunction="sum" headerRowDxfId="275" dataDxfId="274" totalsRowDxfId="273">
      <calculatedColumnFormula>機器[[#This Row],[列4]]*機器[[#This Row],[列6]]</calculatedColumnFormula>
    </tableColumn>
    <tableColumn id="8" xr3:uid="{5E471C1A-5C1D-4708-9BFF-BC35E008081D}" name="列8" totalsRowLabel="1 " headerRowDxfId="272" dataDxfId="271" totalsRowDxfId="270" totalsRowCellStyle="通貨"/>
  </tableColumns>
  <tableStyleInfo name="原価表" showFirstColumn="1"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B115A1-C97D-472C-803F-916305021718}" name="フリーザー" displayName="フリーザー" ref="A12:H15" headerRowCount="0" totalsRowCount="1" headerRowDxfId="269" dataDxfId="268" totalsRowDxfId="267">
  <tableColumns count="8">
    <tableColumn id="1" xr3:uid="{C9E29367-EE8E-4A9C-95C6-FBAF8A76A25A}" name="列1" totalsRowLabel="小計" headerRowDxfId="266" dataDxfId="265" totalsRowDxfId="264"/>
    <tableColumn id="2" xr3:uid="{91F562BA-73D7-47A5-8874-B46AE5AC30E2}" name="列2" headerRowDxfId="263" dataDxfId="262" totalsRowDxfId="261"/>
    <tableColumn id="3" xr3:uid="{2575B460-2AFE-4229-9294-EF2D107A30F4}" name="列3" headerRowDxfId="260" dataDxfId="259" totalsRowDxfId="258"/>
    <tableColumn id="4" xr3:uid="{D54F8964-276D-4C50-9FC2-3D8C59ACDCF9}" name="列4" headerRowDxfId="257" dataDxfId="256" totalsRowDxfId="255"/>
    <tableColumn id="5" xr3:uid="{975BAE16-C80F-4A44-9992-C0ACAD9797D3}" name="列5" headerRowDxfId="254" dataDxfId="253" totalsRowDxfId="252"/>
    <tableColumn id="6" xr3:uid="{9703741E-187E-49F7-9EDC-19E5AF22E79E}" name="列6" headerRowDxfId="251" dataDxfId="250" totalsRowDxfId="249" headerRowCellStyle="桁区切り"/>
    <tableColumn id="7" xr3:uid="{865228CE-1650-48BF-AE46-11B27A27CFD6}" name="列7" totalsRowFunction="sum" headerRowDxfId="248" dataDxfId="247" totalsRowDxfId="246">
      <calculatedColumnFormula>フリーザー[[#This Row],[列4]]*フリーザー[[#This Row],[列6]]</calculatedColumnFormula>
    </tableColumn>
    <tableColumn id="8" xr3:uid="{F1848A93-2811-4941-AF52-2F327C17ED20}" name="列8" totalsRowLabel="1" headerRowDxfId="245" dataDxfId="244" totalsRowDxfId="243"/>
  </tableColumns>
  <tableStyleInfo name="原価表"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5C17859-94E7-41C3-A7DE-429F3F29843D}" name="建築工事" displayName="建築工事" ref="A16:H19" headerRowCount="0" totalsRowCount="1" headerRowDxfId="242" dataDxfId="241" totalsRowDxfId="240">
  <tableColumns count="8">
    <tableColumn id="1" xr3:uid="{34226939-F5A4-4CF4-A026-64F08CDB3D00}" name="列1" totalsRowLabel="小計" headerRowDxfId="239" dataDxfId="238" totalsRowDxfId="237"/>
    <tableColumn id="2" xr3:uid="{9A6BD043-867B-410F-A34D-3CC6360E3248}" name="列2" headerRowDxfId="236" dataDxfId="235" totalsRowDxfId="234"/>
    <tableColumn id="3" xr3:uid="{735F356A-889E-4064-88E5-D24129C77C89}" name="列3" headerRowDxfId="233" dataDxfId="232" totalsRowDxfId="231"/>
    <tableColumn id="4" xr3:uid="{3054066F-6965-4274-9A8B-38BA014BFAB6}" name="列4" headerRowDxfId="230" dataDxfId="229" totalsRowDxfId="228"/>
    <tableColumn id="5" xr3:uid="{3240A220-F094-4340-B58F-60E23C543DDE}" name="列5" headerRowDxfId="227" dataDxfId="226" totalsRowDxfId="225"/>
    <tableColumn id="6" xr3:uid="{B779537D-3F31-4446-B5B0-A3A01280D258}" name="列6" headerRowDxfId="224" dataDxfId="223" totalsRowDxfId="222" headerRowCellStyle="桁区切り"/>
    <tableColumn id="7" xr3:uid="{8E05AFAD-3E3F-459A-909D-00B09739E31C}" name="列7" totalsRowFunction="sum" headerRowDxfId="221" dataDxfId="220" totalsRowDxfId="219">
      <calculatedColumnFormula>建築工事[[#This Row],[列4]]*建築工事[[#This Row],[列6]]</calculatedColumnFormula>
    </tableColumn>
    <tableColumn id="8" xr3:uid="{74728800-984D-4AD3-BCC2-7B0E3E342113}" name="列8" totalsRowLabel="1" headerRowDxfId="218" dataDxfId="217" totalsRowDxfId="216"/>
  </tableColumns>
  <tableStyleInfo name="原価表" showFirstColumn="1"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5BA0B67-8EFD-4AAB-87BE-E72EBA00DCAB}" name="電気工事" displayName="電気工事" ref="A20:H22" headerRowCount="0" totalsRowCount="1" headerRowDxfId="215" dataDxfId="214" totalsRowDxfId="213">
  <tableColumns count="8">
    <tableColumn id="1" xr3:uid="{0631B527-65C9-47C0-8700-23D36E6EACE4}" name="列1" totalsRowLabel="小計" headerRowDxfId="212" dataDxfId="211" totalsRowDxfId="210"/>
    <tableColumn id="2" xr3:uid="{9D82DBA1-14F3-447D-AECB-9A557FF175B4}" name="列2" headerRowDxfId="209" dataDxfId="208" totalsRowDxfId="207"/>
    <tableColumn id="3" xr3:uid="{D25E7EB2-EBC8-4E92-B0B2-A5A85D0FCA97}" name="列3" headerRowDxfId="206" dataDxfId="205" totalsRowDxfId="204"/>
    <tableColumn id="4" xr3:uid="{37BA1C5F-3A1F-48A7-9513-6B133329ABED}" name="列4" headerRowDxfId="203" dataDxfId="202" totalsRowDxfId="201" headerRowCellStyle="桁区切り"/>
    <tableColumn id="5" xr3:uid="{A0B13772-2619-4AE7-888D-18DB46BD112B}" name="列5" headerRowDxfId="200" dataDxfId="199" totalsRowDxfId="198" headerRowCellStyle="桁区切り"/>
    <tableColumn id="6" xr3:uid="{92FB39EF-E8DF-44FA-825E-544B8975308A}" name="列6" headerRowDxfId="197" dataDxfId="196" totalsRowDxfId="195" headerRowCellStyle="桁区切り"/>
    <tableColumn id="7" xr3:uid="{0BA5F538-9907-4E2F-8DAA-2C4053A860E6}" name="列7" totalsRowFunction="sum" headerRowDxfId="194" dataDxfId="193" totalsRowDxfId="192" headerRowCellStyle="桁区切り">
      <calculatedColumnFormula>電気工事[[#This Row],[列4]]*電気工事[[#This Row],[列6]]</calculatedColumnFormula>
    </tableColumn>
    <tableColumn id="8" xr3:uid="{D64F4BF3-C0AD-4915-A407-A6E6667A8B8A}" name="列8" totalsRowLabel="1" headerRowDxfId="191" dataDxfId="190" totalsRowDxfId="189"/>
  </tableColumns>
  <tableStyleInfo name="原価表" showFirstColumn="1"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09B4AAC-F5EB-4B3A-B1C8-0E5D3845324B}" name="設備工事" displayName="設備工事" ref="A23:H26" headerRowCount="0" totalsRowCount="1" headerRowDxfId="188" dataDxfId="187" totalsRowDxfId="186">
  <tableColumns count="8">
    <tableColumn id="1" xr3:uid="{30A2E50F-82B6-43DA-840E-9F57A58D8788}" name="列1" totalsRowLabel="小計" headerRowDxfId="185" dataDxfId="184" totalsRowDxfId="183"/>
    <tableColumn id="2" xr3:uid="{E3B6199C-2435-43F3-9C3E-41A0E91473A2}" name="列2" headerRowDxfId="182" dataDxfId="181" totalsRowDxfId="180"/>
    <tableColumn id="3" xr3:uid="{1E3A294B-2250-4FC5-90B5-5CC07EECD0B6}" name="列3" headerRowDxfId="179" dataDxfId="178" totalsRowDxfId="177"/>
    <tableColumn id="4" xr3:uid="{239D6480-F4DE-4272-8267-A3E71C503860}" name="列4" headerRowDxfId="176" dataDxfId="175" totalsRowDxfId="174"/>
    <tableColumn id="5" xr3:uid="{95134A0E-150D-4A78-8F03-48CA3BECEBE8}" name="列5" headerRowDxfId="173" dataDxfId="172" totalsRowDxfId="171"/>
    <tableColumn id="6" xr3:uid="{41AEE404-B33A-41F3-9026-E3770747899F}" name="列6" headerRowDxfId="170" dataDxfId="169" totalsRowDxfId="168" headerRowCellStyle="桁区切り"/>
    <tableColumn id="7" xr3:uid="{F3F94B18-C3D9-49AF-8344-E3430DB62E3F}" name="列7" totalsRowFunction="sum" headerRowDxfId="167" dataDxfId="166" totalsRowDxfId="165">
      <calculatedColumnFormula>設備工事[[#This Row],[列4]]*設備工事[[#This Row],[列6]]</calculatedColumnFormula>
    </tableColumn>
    <tableColumn id="8" xr3:uid="{CF49266B-F00E-40BE-95C1-6CDBA96B0C1E}" name="列8" totalsRowLabel="1" headerRowDxfId="164" dataDxfId="163" totalsRowDxfId="162"/>
  </tableColumns>
  <tableStyleInfo name="原価表" showFirstColumn="1"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124BA00-47E4-4B40-A8CC-D3BADCA46505}" name="重量・運搬工事" displayName="重量・運搬工事" ref="A27:H31" headerRowCount="0" totalsRowCount="1" headerRowDxfId="161" dataDxfId="160" totalsRowDxfId="159">
  <tableColumns count="8">
    <tableColumn id="1" xr3:uid="{49368615-E161-4137-80BA-75B0171EBB7E}" name="列1" totalsRowLabel="小計" headerRowDxfId="158" dataDxfId="157" totalsRowDxfId="156"/>
    <tableColumn id="2" xr3:uid="{07E75EBD-6BEA-4290-8D8D-D4EE736E0B26}" name="列2" headerRowDxfId="155" dataDxfId="154" totalsRowDxfId="153"/>
    <tableColumn id="3" xr3:uid="{F92C824F-90AE-4ED8-B062-B1B4BE27E2D2}" name="列3" headerRowDxfId="152" dataDxfId="151" totalsRowDxfId="150"/>
    <tableColumn id="4" xr3:uid="{EC279FC9-B71F-40DE-9735-9384C99B56D3}" name="列4" headerRowDxfId="149" dataDxfId="148" totalsRowDxfId="147"/>
    <tableColumn id="5" xr3:uid="{F40D20C4-E6A8-4B62-A163-C16A52A6988B}" name="列5" headerRowDxfId="146" dataDxfId="145" totalsRowDxfId="144"/>
    <tableColumn id="6" xr3:uid="{2B93722A-89FE-4A0E-980A-43E9A05726F0}" name="列6" headerRowDxfId="143" dataDxfId="142" totalsRowDxfId="141" headerRowCellStyle="桁区切り"/>
    <tableColumn id="7" xr3:uid="{DA88C116-5F5B-4F4E-A3F0-03DD3FC36375}" name="列7" totalsRowFunction="sum" headerRowDxfId="140" dataDxfId="139" totalsRowDxfId="138">
      <calculatedColumnFormula>重量・運搬工事[[#This Row],[列4]]*重量・運搬工事[[#This Row],[列6]]</calculatedColumnFormula>
    </tableColumn>
    <tableColumn id="8" xr3:uid="{7F085C45-F159-4942-BA1A-EEEB7D6825BC}" name="列8" totalsRowLabel="1" headerRowDxfId="137" dataDxfId="136" totalsRowDxfId="135"/>
  </tableColumns>
  <tableStyleInfo name="原価表" showFirstColumn="1"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4AF2D5B-4C57-4318-B337-7DE84BFFD0B3}" name="熱絶縁工事" displayName="熱絶縁工事" ref="A32:H35" headerRowCount="0" totalsRowCount="1" headerRowDxfId="134" dataDxfId="133" totalsRowDxfId="132">
  <tableColumns count="8">
    <tableColumn id="1" xr3:uid="{BA3658AC-7764-4AB2-8D05-1957A5D84CBC}" name="列1" totalsRowLabel="小計" headerRowDxfId="131" dataDxfId="130" totalsRowDxfId="129"/>
    <tableColumn id="2" xr3:uid="{A71A94A4-EB53-4184-89EA-122A0F67B1D1}" name="列2" headerRowDxfId="128" dataDxfId="127" totalsRowDxfId="126"/>
    <tableColumn id="3" xr3:uid="{EB49F272-3AA6-48C4-976E-CC598D67A43A}" name="列3" headerRowDxfId="125" dataDxfId="124" totalsRowDxfId="123"/>
    <tableColumn id="4" xr3:uid="{10C409F4-E4E6-41F9-B153-8981D6331792}" name="列4" headerRowDxfId="122" dataDxfId="121" totalsRowDxfId="120"/>
    <tableColumn id="5" xr3:uid="{5E90506F-3270-49F7-A31C-CC48D4B3D1A8}" name="列5" headerRowDxfId="119" dataDxfId="118" totalsRowDxfId="117"/>
    <tableColumn id="6" xr3:uid="{D6352D47-4749-4D8A-AD7D-9D885455F86D}" name="列6" headerRowDxfId="116" dataDxfId="115" totalsRowDxfId="114" headerRowCellStyle="桁区切り"/>
    <tableColumn id="7" xr3:uid="{1E7097DB-22AB-497B-9C04-F55EAB43E6CE}" name="列7" totalsRowFunction="sum" headerRowDxfId="113" dataDxfId="112" totalsRowDxfId="111">
      <calculatedColumnFormula>熱絶縁工事[[#This Row],[列4]]*熱絶縁工事[[#This Row],[列6]]</calculatedColumnFormula>
    </tableColumn>
    <tableColumn id="8" xr3:uid="{2D3E65F8-BF58-4236-BBD7-506625661575}" name="列8" totalsRowLabel="1 " headerRowDxfId="110" dataDxfId="109" totalsRowDxfId="108"/>
  </tableColumns>
  <tableStyleInfo name="原価表" showFirstColumn="1"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83F868E-4F7D-4A78-B36A-9871842D5A88}" name="仮設工事" displayName="仮設工事" ref="A36:H39" headerRowCount="0" totalsRowCount="1" headerRowDxfId="107" dataDxfId="106" totalsRowDxfId="105">
  <tableColumns count="8">
    <tableColumn id="1" xr3:uid="{3B9B8237-1F55-43CD-B10E-112440492897}" name="列1" totalsRowLabel="小計" headerRowDxfId="104" dataDxfId="103" totalsRowDxfId="102"/>
    <tableColumn id="2" xr3:uid="{F114CCDB-EA42-443A-9024-CE1505704FE9}" name="列2" headerRowDxfId="101" dataDxfId="100" totalsRowDxfId="99"/>
    <tableColumn id="3" xr3:uid="{F524F994-37BC-4FAB-A9B4-9BA84AB80E12}" name="列3" headerRowDxfId="98" dataDxfId="97" totalsRowDxfId="96"/>
    <tableColumn id="4" xr3:uid="{820C4BCA-FA08-4CD1-B990-8F0D16539E40}" name="列4" headerRowDxfId="95" dataDxfId="94" totalsRowDxfId="93" headerRowCellStyle="桁区切り"/>
    <tableColumn id="5" xr3:uid="{6E4D0115-A980-4276-A008-69A3D56D58E4}" name="列5" headerRowDxfId="92" dataDxfId="91" totalsRowDxfId="90" headerRowCellStyle="桁区切り"/>
    <tableColumn id="6" xr3:uid="{FB48080A-E4AB-43B3-96CC-FADFE0DA540B}" name="列6" headerRowDxfId="89" dataDxfId="88" totalsRowDxfId="87" headerRowCellStyle="桁区切り"/>
    <tableColumn id="7" xr3:uid="{9CDA45BD-056C-442F-9F21-4318E0F085C5}" name="列7" headerRowDxfId="86" dataDxfId="85" totalsRowDxfId="84" headerRowCellStyle="桁区切り"/>
    <tableColumn id="8" xr3:uid="{BCF64A61-B5D6-4A51-85F0-F263D51A6C77}" name="列8" totalsRowLabel="1 " headerRowDxfId="83" dataDxfId="82" totalsRowDxfId="81"/>
  </tableColumns>
  <tableStyleInfo name="原価表" showFirstColumn="1"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182EF1B-56CC-4E51-B6B4-82D68A01A9E7}" name="リース費" displayName="リース費" ref="A40:H43" headerRowCount="0" totalsRowCount="1" headerRowDxfId="80" dataDxfId="79" totalsRowDxfId="78">
  <tableColumns count="8">
    <tableColumn id="1" xr3:uid="{CE873497-486F-4C09-8BBD-0929628F58F2}" name="列1" totalsRowLabel="小計" headerRowDxfId="77" dataDxfId="76" totalsRowDxfId="75"/>
    <tableColumn id="2" xr3:uid="{5A801033-C4BE-4E12-8B97-D78CEBAA2720}" name="列2" headerRowDxfId="74" dataDxfId="73" totalsRowDxfId="72"/>
    <tableColumn id="3" xr3:uid="{DC73F6A5-0F62-4F2A-84F9-8D4BFE6BA56B}" name="列3" headerRowDxfId="71" dataDxfId="70" totalsRowDxfId="69"/>
    <tableColumn id="4" xr3:uid="{8D506230-1619-488E-BFCE-8A59819C2498}" name="列4" headerRowDxfId="68" dataDxfId="67" totalsRowDxfId="66" headerRowCellStyle="桁区切り"/>
    <tableColumn id="5" xr3:uid="{C3F45F34-05A6-4778-8111-696C0E8D16D5}" name="列5" headerRowDxfId="65" dataDxfId="64" totalsRowDxfId="63" headerRowCellStyle="桁区切り"/>
    <tableColumn id="6" xr3:uid="{AA8A560A-4F36-4156-AE5C-338245CBF405}" name="列6" headerRowDxfId="62" dataDxfId="61" totalsRowDxfId="60" headerRowCellStyle="桁区切り"/>
    <tableColumn id="7" xr3:uid="{1A73FA01-C02C-46F1-99B4-6013046CA877}" name="列7" headerRowDxfId="59" dataDxfId="58" totalsRowDxfId="57" headerRowCellStyle="桁区切り"/>
    <tableColumn id="8" xr3:uid="{4F129518-4485-46AA-ADEB-A30717312730}" name="列8" totalsRowLabel="1 " headerRowDxfId="56" dataDxfId="55" totalsRowDxfId="54"/>
  </tableColumns>
  <tableStyleInfo name="原価表" showFirstColumn="1"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FEBC526-6278-4A6A-9863-D93ED8760FD9}" name="諸経費" displayName="諸経費" ref="A44:H47" headerRowCount="0" totalsRowCount="1" headerRowDxfId="53" dataDxfId="52" totalsRowDxfId="51">
  <tableColumns count="8">
    <tableColumn id="1" xr3:uid="{71433641-3C72-4587-9105-8CF8431E9864}" name="列1" totalsRowLabel="小計" headerRowDxfId="50" dataDxfId="49" totalsRowDxfId="48"/>
    <tableColumn id="2" xr3:uid="{A0E88A8A-5741-4AC9-A003-E7A9F305B7DC}" name="列2" headerRowDxfId="47" dataDxfId="46" totalsRowDxfId="45"/>
    <tableColumn id="3" xr3:uid="{D72FEE46-0CB9-43EB-B40E-3D0D8333C5F3}" name="列3" headerRowDxfId="44" dataDxfId="43" totalsRowDxfId="42"/>
    <tableColumn id="4" xr3:uid="{A9EAE407-B903-4DF2-8442-0B8F41894C74}" name="列4" headerRowDxfId="41" dataDxfId="40" totalsRowDxfId="39" headerRowCellStyle="桁区切り"/>
    <tableColumn id="5" xr3:uid="{45E50682-2FD9-4F6E-8AEE-978E2AD88B1C}" name="列5" headerRowDxfId="38" dataDxfId="37" totalsRowDxfId="36" headerRowCellStyle="桁区切り"/>
    <tableColumn id="6" xr3:uid="{0B7D3563-AB9D-4196-A95D-2C3FF2726ADD}" name="列6" headerRowDxfId="35" dataDxfId="34" totalsRowDxfId="33" headerRowCellStyle="桁区切り"/>
    <tableColumn id="7" xr3:uid="{414B1CA3-D422-4919-826F-F4D5CFC391A0}" name="列7" headerRowDxfId="32" dataDxfId="31" totalsRowDxfId="30" headerRowCellStyle="桁区切り"/>
    <tableColumn id="8" xr3:uid="{60E0F836-BEF8-4FD6-B442-C9EFE687041E}" name="列8" totalsRowFunction="sum" headerRowDxfId="29" dataDxfId="28" totalsRowDxfId="27"/>
  </tableColumns>
  <tableStyleInfo name="原価表" showFirstColumn="1"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464E8B4-5613-41A3-BB5C-B37B2B9C1056}" name="労務費" displayName="労務費" ref="A48:H52" headerRowCount="0" totalsRowCount="1" headerRowDxfId="26" dataDxfId="25" totalsRowDxfId="24">
  <tableColumns count="8">
    <tableColumn id="1" xr3:uid="{9C697627-9230-4AA7-ABCF-AB9C612C76FF}" name="列1" totalsRowLabel="小計" headerRowDxfId="23" dataDxfId="22" totalsRowDxfId="21"/>
    <tableColumn id="2" xr3:uid="{FC7C3E81-CA7D-4070-BB55-9C6F0F7B6A62}" name="列2" headerRowDxfId="20" dataDxfId="19" totalsRowDxfId="18"/>
    <tableColumn id="3" xr3:uid="{FB3E0EAB-DD77-4B84-BD66-75F3879F78C2}" name="列3" headerRowDxfId="17" dataDxfId="16" totalsRowDxfId="15"/>
    <tableColumn id="4" xr3:uid="{0AFDFC6B-245E-4AE5-AB8C-153020DE2D73}" name="列4" headerRowDxfId="14" dataDxfId="13" totalsRowDxfId="12" headerRowCellStyle="桁区切り"/>
    <tableColumn id="5" xr3:uid="{7089FB7B-0AAE-47A7-827D-B0C824F8907E}" name="列5" headerRowDxfId="11" dataDxfId="10" totalsRowDxfId="9" headerRowCellStyle="桁区切り"/>
    <tableColumn id="6" xr3:uid="{63D3C9D6-41B2-47DD-BF85-37735B302590}" name="列6" headerRowDxfId="8" dataDxfId="7" totalsRowDxfId="6" headerRowCellStyle="桁区切り"/>
    <tableColumn id="7" xr3:uid="{5CAAF826-BD34-4122-8BA9-AE34A233546B}" name="列7" headerRowDxfId="5" dataDxfId="4" totalsRowDxfId="3" headerRowCellStyle="桁区切り"/>
    <tableColumn id="8" xr3:uid="{7B7E0FF6-FB19-4137-ABAE-102537AA1CDE}" name="列8" totalsRowLabel="1 " headerRowDxfId="2" dataDxfId="1" totalsRowDxfId="0"/>
  </tableColumns>
  <tableStyleInfo name="原価表" showFirstColumn="1"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AE1B36-130E-4CAD-B164-A063C456597B}" name="機器_2" displayName="機器_2" ref="A7:H13" headerRowCount="0" totalsRowCount="1" headerRowDxfId="620" dataDxfId="619" totalsRowDxfId="618">
  <tableColumns count="8">
    <tableColumn id="9" xr3:uid="{FEB2412D-04E6-4818-9A32-F524A3630D94}" name="列9" totalsRowLabel="小計" headerRowDxfId="617" dataDxfId="616" totalsRowDxfId="615" headerRowCellStyle="桁区切り"/>
    <tableColumn id="2" xr3:uid="{C21F0565-A02B-4AB4-978F-552EC5429BC7}" name="列2" headerRowDxfId="614" dataDxfId="613" totalsRowDxfId="612"/>
    <tableColumn id="3" xr3:uid="{E79CAAF5-3114-4A8A-B1A4-916C324200EB}" name="列3" headerRowDxfId="611" dataDxfId="610" totalsRowDxfId="609"/>
    <tableColumn id="4" xr3:uid="{C07F167F-73FE-4E2E-8F0F-1969067A4985}" name="列4" headerRowDxfId="608" dataDxfId="607" totalsRowDxfId="606"/>
    <tableColumn id="5" xr3:uid="{A30C607B-9502-4010-B22F-2388F09BDE3D}" name="列5" headerRowDxfId="605" dataDxfId="604" totalsRowDxfId="603"/>
    <tableColumn id="6" xr3:uid="{1D5FC09C-23A6-4EDA-A9DE-EE26A0A10A32}" name="列6" headerRowDxfId="602" dataDxfId="601" totalsRowDxfId="600" headerRowCellStyle="桁区切り"/>
    <tableColumn id="7" xr3:uid="{98D1C20E-4FE1-4B5B-9AA2-0408C84098FB}" name="列7" totalsRowFunction="sum" headerRowDxfId="599" dataDxfId="598" totalsRowDxfId="597">
      <calculatedColumnFormula>機器_2[[#This Row],[列4]]*機器_2[[#This Row],[列6]]</calculatedColumnFormula>
    </tableColumn>
    <tableColumn id="8" xr3:uid="{8D8DFF71-9385-4913-81F7-BA41A89D79A7}" name="列8" totalsRowLabel="18,500,000" headerRowDxfId="596" dataDxfId="595" totalsRowDxfId="594" totalsRowCellStyle="桁区切り"/>
  </tableColumns>
  <tableStyleInfo name="原価表" showFirstColumn="1"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4D4DE3B-9E49-4D02-A250-E38F7CC4DB72}" name="フリーザー14" displayName="フリーザー14" ref="A14:H17" headerRowCount="0" totalsRowCount="1" headerRowDxfId="593" dataDxfId="592" totalsRowDxfId="591">
  <tableColumns count="8">
    <tableColumn id="1" xr3:uid="{0F8F05FF-8684-45E3-857F-106A627D70A2}" name="列1" totalsRowLabel="小計" headerRowDxfId="590" dataDxfId="589" totalsRowDxfId="588"/>
    <tableColumn id="2" xr3:uid="{F2C4E3E0-D2B7-4821-A918-939EA98318AB}" name="列2" headerRowDxfId="587" dataDxfId="586" totalsRowDxfId="585"/>
    <tableColumn id="3" xr3:uid="{8ED9C1DC-BC83-4228-8B50-BF025E4391B8}" name="列3" headerRowDxfId="584" dataDxfId="583" totalsRowDxfId="582"/>
    <tableColumn id="4" xr3:uid="{3435E956-8234-497A-876C-63D50C46B310}" name="列4" headerRowDxfId="581" dataDxfId="580" totalsRowDxfId="579"/>
    <tableColumn id="5" xr3:uid="{B3D76134-89C9-49E2-9989-C3856F97C3A9}" name="列5" headerRowDxfId="578" dataDxfId="577" totalsRowDxfId="576"/>
    <tableColumn id="6" xr3:uid="{B761F0DF-AF5B-45C4-A289-BB34DFE10144}" name="列6" headerRowDxfId="575" dataDxfId="574" totalsRowDxfId="573" headerRowCellStyle="桁区切り"/>
    <tableColumn id="7" xr3:uid="{99E1CE80-E785-4819-A394-557504774FEC}" name="列7" totalsRowFunction="sum" headerRowDxfId="572" dataDxfId="571" totalsRowDxfId="570">
      <calculatedColumnFormula>フリーザー14[[#This Row],[列4]]*フリーザー14[[#This Row],[列6]]</calculatedColumnFormula>
    </tableColumn>
    <tableColumn id="8" xr3:uid="{3E190DA6-2118-497F-958D-AFF9087D059D}" name="列8" totalsRowLabel="0" headerRowDxfId="569" dataDxfId="568" totalsRowDxfId="567"/>
  </tableColumns>
  <tableStyleInfo name="原価表"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CB1972B-D2A5-4127-ACF8-E9CD285FC1CB}" name="建築工事15" displayName="建築工事15" ref="A18:H21" headerRowCount="0" totalsRowCount="1" headerRowDxfId="566" dataDxfId="565" totalsRowDxfId="564">
  <tableColumns count="8">
    <tableColumn id="1" xr3:uid="{39BC3D9D-E9B9-4E49-A030-6EF9479B287C}" name="列1" totalsRowLabel="小計" headerRowDxfId="563" dataDxfId="562" totalsRowDxfId="561"/>
    <tableColumn id="2" xr3:uid="{E26E423B-4CB3-417E-97FE-8BC373454A52}" name="列2" headerRowDxfId="560" dataDxfId="559" totalsRowDxfId="558"/>
    <tableColumn id="3" xr3:uid="{E384984D-30CB-4E72-B13F-03D3CE40D73C}" name="列3" headerRowDxfId="557" dataDxfId="556" totalsRowDxfId="555"/>
    <tableColumn id="4" xr3:uid="{427DE903-96AE-4993-9648-1C8EC29B602E}" name="列4" headerRowDxfId="554" dataDxfId="553" totalsRowDxfId="552"/>
    <tableColumn id="5" xr3:uid="{DA8EA1C6-51A2-4F0F-B362-F6106B9AA970}" name="列5" headerRowDxfId="551" dataDxfId="550" totalsRowDxfId="549"/>
    <tableColumn id="6" xr3:uid="{97EFDC2A-4E08-480F-A63D-F5CBCD31F63B}" name="列6" headerRowDxfId="548" dataDxfId="547" totalsRowDxfId="546" headerRowCellStyle="桁区切り"/>
    <tableColumn id="7" xr3:uid="{65661B58-DAF2-470E-BB45-88D907049076}" name="列7" totalsRowFunction="sum" headerRowDxfId="545" dataDxfId="544" totalsRowDxfId="543">
      <calculatedColumnFormula>建築工事15[[#This Row],[列4]]*建築工事15[[#This Row],[列6]]</calculatedColumnFormula>
    </tableColumn>
    <tableColumn id="8" xr3:uid="{18D3F88C-A476-42AA-B91F-CA78490D30F7}" name="列8" totalsRowLabel="0" headerRowDxfId="542" dataDxfId="541" totalsRowDxfId="540" totalsRowCellStyle="桁区切り"/>
  </tableColumns>
  <tableStyleInfo name="原価表" showFirstColumn="1"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540F4A9-8716-4888-AC70-F93F03837ABF}" name="電気工事16" displayName="電気工事16" ref="A22:H25" headerRowCount="0" totalsRowCount="1" headerRowDxfId="539" dataDxfId="538" totalsRowDxfId="537">
  <tableColumns count="8">
    <tableColumn id="1" xr3:uid="{3F5D4ADC-95A4-4EB8-A686-A82A2359CAA7}" name="列1" totalsRowLabel="小計" headerRowDxfId="536" dataDxfId="535" totalsRowDxfId="534"/>
    <tableColumn id="2" xr3:uid="{EBD094CF-A55D-430F-B85D-E670D0AF24E3}" name="列2" headerRowDxfId="533" dataDxfId="532" totalsRowDxfId="531"/>
    <tableColumn id="3" xr3:uid="{985E4147-9795-4950-A14D-879B84C3E1EC}" name="列3" headerRowDxfId="530" dataDxfId="529" totalsRowDxfId="528"/>
    <tableColumn id="4" xr3:uid="{5825A501-9542-4642-9BB7-B3F5BD518DF6}" name="列4" headerRowDxfId="527" dataDxfId="526" totalsRowDxfId="525" headerRowCellStyle="桁区切り"/>
    <tableColumn id="5" xr3:uid="{B80360B7-FDC7-4D69-9238-2B62BEC7A962}" name="列5" headerRowDxfId="524" dataDxfId="523" totalsRowDxfId="522" headerRowCellStyle="桁区切り"/>
    <tableColumn id="6" xr3:uid="{1FFE6FBB-47B9-4DA2-9CCC-B80CFFCA6FB7}" name="列6" headerRowDxfId="521" dataDxfId="520" totalsRowDxfId="519" headerRowCellStyle="桁区切り"/>
    <tableColumn id="7" xr3:uid="{6EF5B6C3-E578-4C94-9C2B-1C548FC04FEE}" name="列7" totalsRowFunction="sum" headerRowDxfId="518" dataDxfId="517" totalsRowDxfId="516" headerRowCellStyle="桁区切り" dataCellStyle="桁区切り">
      <calculatedColumnFormula>電気工事16[[#This Row],[列4]]*電気工事16[[#This Row],[列6]]</calculatedColumnFormula>
    </tableColumn>
    <tableColumn id="8" xr3:uid="{9B7E4DDA-AC2D-47A2-9337-C54226091FE6}" name="列8" totalsRowLabel="4,000,000" headerRowDxfId="515" dataDxfId="514" totalsRowDxfId="513" totalsRowCellStyle="桁区切り"/>
  </tableColumns>
  <tableStyleInfo name="原価表" showFirstColumn="1"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55ECA61-0B08-463C-9972-3BC7B50C3EA9}" name="設備工事17" displayName="設備工事17" ref="A26:H45" headerRowCount="0" totalsRowCount="1" headerRowDxfId="512" dataDxfId="511" totalsRowDxfId="510">
  <tableColumns count="8">
    <tableColumn id="1" xr3:uid="{56EA1D47-BC15-4C6D-8EBA-162532C048EB}" name="列1" totalsRowLabel="小計" headerRowDxfId="509" dataDxfId="508" totalsRowDxfId="507"/>
    <tableColumn id="2" xr3:uid="{702A1172-500D-42EB-A90D-1EAF973BEEA3}" name="列2" headerRowDxfId="506" dataDxfId="505" totalsRowDxfId="504"/>
    <tableColumn id="3" xr3:uid="{58C4F144-C635-4938-B15B-F034C92D750C}" name="列3" headerRowDxfId="503" dataDxfId="502" totalsRowDxfId="501"/>
    <tableColumn id="4" xr3:uid="{71464AB8-1E5A-4D86-84EB-8B895B9343AC}" name="列4" headerRowDxfId="500" dataDxfId="499" totalsRowDxfId="498"/>
    <tableColumn id="5" xr3:uid="{3C7B1348-71F0-46A6-8996-1EAD37FD822C}" name="列5" headerRowDxfId="497" dataDxfId="496" totalsRowDxfId="495"/>
    <tableColumn id="6" xr3:uid="{C084F20F-3FC4-434B-8E36-CCA93DF52609}" name="列6" headerRowDxfId="494" dataDxfId="493" totalsRowDxfId="492" headerRowCellStyle="桁区切り"/>
    <tableColumn id="7" xr3:uid="{0E2171FA-68A2-414E-91BC-AE2C4520C19C}" name="列7" totalsRowFunction="sum" headerRowDxfId="491" dataDxfId="490" totalsRowDxfId="489">
      <calculatedColumnFormula>設備工事17[[#This Row],[列4]]*設備工事17[[#This Row],[列6]]</calculatedColumnFormula>
    </tableColumn>
    <tableColumn id="8" xr3:uid="{A45A65F6-30D5-422A-832F-C6CF4E207BF0}" name="列8" totalsRowLabel="5,500,000" headerRowDxfId="488" dataDxfId="487" totalsRowDxfId="486"/>
  </tableColumns>
  <tableStyleInfo name="原価表" showFirstColumn="1"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782742B-ADC0-4F82-9BE3-CA5BA54185BC}" name="重量・運搬工事18" displayName="重量・運搬工事18" ref="A46:H50" headerRowCount="0" totalsRowCount="1" headerRowDxfId="485" dataDxfId="484" totalsRowDxfId="483">
  <tableColumns count="8">
    <tableColumn id="1" xr3:uid="{5827E642-DA32-4076-9B64-7920200C32E2}" name="列1" totalsRowLabel="小計" headerRowDxfId="482" dataDxfId="481" totalsRowDxfId="480"/>
    <tableColumn id="2" xr3:uid="{B01D449C-3E69-44F1-A79A-1B410F9E1F77}" name="列2" headerRowDxfId="479" dataDxfId="478" totalsRowDxfId="477"/>
    <tableColumn id="3" xr3:uid="{1416F1FB-AA98-4D28-9C96-925E49D918E2}" name="列3" headerRowDxfId="476" dataDxfId="475" totalsRowDxfId="474"/>
    <tableColumn id="4" xr3:uid="{12EFDBE3-BE19-46BC-B252-9D876E1B86E8}" name="列4" headerRowDxfId="473" dataDxfId="472" totalsRowDxfId="471"/>
    <tableColumn id="5" xr3:uid="{D152304E-8DD8-4F4C-95B7-91A1EA630280}" name="列5" headerRowDxfId="470" dataDxfId="469" totalsRowDxfId="468"/>
    <tableColumn id="6" xr3:uid="{3FB63CB0-EB3B-41DD-A056-463A036FE8FE}" name="列6" headerRowDxfId="467" dataDxfId="466" totalsRowDxfId="465" headerRowCellStyle="桁区切り"/>
    <tableColumn id="7" xr3:uid="{9F2F9152-DDB6-434E-9CDA-615F8EFFA2CB}" name="列7" totalsRowFunction="sum" headerRowDxfId="464" dataDxfId="463" totalsRowDxfId="462">
      <calculatedColumnFormula>重量・運搬工事18[[#This Row],[列4]]*重量・運搬工事18[[#This Row],[列6]]</calculatedColumnFormula>
    </tableColumn>
    <tableColumn id="8" xr3:uid="{5541EBDA-6512-44F0-957F-257FB74E2508}" name="列8" totalsRowLabel="1,200,000" headerRowDxfId="461" dataDxfId="460" totalsRowDxfId="459"/>
  </tableColumns>
  <tableStyleInfo name="原価表" showFirstColumn="1"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1BDE920-C8F0-49D2-9B8B-3C2A0FCE6D7C}" name="熱絶縁工事19" displayName="熱絶縁工事19" ref="A51:H58" headerRowCount="0" totalsRowCount="1" headerRowDxfId="458" dataDxfId="457" totalsRowDxfId="456">
  <tableColumns count="8">
    <tableColumn id="1" xr3:uid="{9BFDF824-5B03-400B-8B82-B60A0AA1EB1A}" name="列1" totalsRowLabel="小計" headerRowDxfId="455" dataDxfId="454" totalsRowDxfId="453"/>
    <tableColumn id="2" xr3:uid="{8B6E1A42-12D9-4864-AC84-CE9585304F5B}" name="列2" headerRowDxfId="452" dataDxfId="451" totalsRowDxfId="450"/>
    <tableColumn id="3" xr3:uid="{BC4C5B0C-AFFC-42D8-8213-647D170B7F09}" name="列3" headerRowDxfId="449" dataDxfId="448" totalsRowDxfId="447"/>
    <tableColumn id="4" xr3:uid="{DE0CDF64-7117-496D-B2E9-999C4FC7EE9C}" name="列4" headerRowDxfId="446" dataDxfId="445" totalsRowDxfId="444"/>
    <tableColumn id="5" xr3:uid="{473BD2C8-FCB5-4A2E-809D-670B980734E0}" name="列5" headerRowDxfId="443" dataDxfId="442" totalsRowDxfId="441"/>
    <tableColumn id="6" xr3:uid="{F45002F6-F96C-4C70-A5AD-EBEACDA84B3C}" name="列6" headerRowDxfId="440" dataDxfId="439" totalsRowDxfId="438" headerRowCellStyle="桁区切り" dataCellStyle="桁区切り"/>
    <tableColumn id="7" xr3:uid="{4C21F043-0ACB-4D41-BE5F-27BD4C115197}" name="列7" totalsRowFunction="custom" headerRowDxfId="437" dataDxfId="436" totalsRowDxfId="435">
      <calculatedColumnFormula>熱絶縁工事19[[#This Row],[列4]]*熱絶縁工事19[[#This Row],[列6]]</calculatedColumnFormula>
      <totalsRowFormula>SUM(G55:G56)</totalsRowFormula>
    </tableColumn>
    <tableColumn id="8" xr3:uid="{DA8CBBF9-3CB2-4292-ABF0-660AE41226D4}" name="列8" totalsRowLabel="4,400,000 " headerRowDxfId="434" dataDxfId="433" totalsRowDxfId="432"/>
  </tableColumns>
  <tableStyleInfo name="原価表" showFirstColumn="1"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3C0446D-6A89-46FD-9894-13D25527AC3C}" name="仮設工事20" displayName="仮設工事20" ref="A59:H62" headerRowCount="0" totalsRowCount="1" headerRowDxfId="431" dataDxfId="430" totalsRowDxfId="429">
  <tableColumns count="8">
    <tableColumn id="1" xr3:uid="{C7C90710-7C77-4B15-ADEB-C64DB80CF674}" name="列1" totalsRowLabel="小計" headerRowDxfId="428" dataDxfId="427" totalsRowDxfId="426"/>
    <tableColumn id="2" xr3:uid="{05AB5664-9539-4D2D-9AC1-496CCA1C3716}" name="列2" headerRowDxfId="425" dataDxfId="424" totalsRowDxfId="423"/>
    <tableColumn id="3" xr3:uid="{1F1E0403-0C8B-41DC-8627-068BA4EAA442}" name="列3" headerRowDxfId="422" dataDxfId="421" totalsRowDxfId="420"/>
    <tableColumn id="4" xr3:uid="{7F8BE473-8B53-4B6E-8630-315A3BE52BEA}" name="列4" headerRowDxfId="419" dataDxfId="418" totalsRowDxfId="417" headerRowCellStyle="桁区切り"/>
    <tableColumn id="5" xr3:uid="{A1DEE5F8-BAE3-440F-A922-ADAF1891AE3D}" name="列5" headerRowDxfId="416" dataDxfId="415" totalsRowDxfId="414" headerRowCellStyle="桁区切り"/>
    <tableColumn id="6" xr3:uid="{64D76667-5AE4-43AC-A7BF-0B49C29577BE}" name="列6" headerRowDxfId="413" dataDxfId="412" totalsRowDxfId="411" headerRowCellStyle="桁区切り"/>
    <tableColumn id="7" xr3:uid="{4EEA2AF1-D2FB-488A-808F-6B824A9488B6}" name="列7" totalsRowFunction="sum" headerRowDxfId="410" dataDxfId="409" totalsRowDxfId="408" headerRowCellStyle="桁区切り">
      <calculatedColumnFormula>仮設工事20[[#This Row],[列4]]*仮設工事20[[#This Row],[列6]]</calculatedColumnFormula>
    </tableColumn>
    <tableColumn id="8" xr3:uid="{F419E434-B818-47FA-9B42-7E4F96E6F83A}" name="列8" totalsRowLabel="0 " headerRowDxfId="407" dataDxfId="406" totalsRowDxfId="405"/>
  </tableColumns>
  <tableStyleInfo name="原価表" showFirstColumn="1"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E70E304-5CD9-46DD-9C5B-04F4F6370514}" name="リース費21" displayName="リース費21" ref="A63:H66" headerRowCount="0" totalsRowCount="1" headerRowDxfId="404" dataDxfId="403" totalsRowDxfId="402">
  <tableColumns count="8">
    <tableColumn id="1" xr3:uid="{987CBF31-3728-4E0E-95BD-6308F939F21A}" name="列1" totalsRowLabel="小計" headerRowDxfId="401" dataDxfId="400" totalsRowDxfId="399"/>
    <tableColumn id="2" xr3:uid="{0C4D8963-5734-49CE-8D2D-DC8AD521E106}" name="列2" headerRowDxfId="398" dataDxfId="397" totalsRowDxfId="396"/>
    <tableColumn id="3" xr3:uid="{DF582C7F-21A0-442D-8854-C906BBA812C5}" name="列3" headerRowDxfId="395" dataDxfId="394" totalsRowDxfId="393"/>
    <tableColumn id="4" xr3:uid="{B53A7B2D-DB5A-4AF3-9EF6-9029F9518CD1}" name="列4" headerRowDxfId="392" dataDxfId="391" totalsRowDxfId="390" headerRowCellStyle="桁区切り"/>
    <tableColumn id="5" xr3:uid="{CE344530-E202-4E10-B16A-B0FAC01FDEBF}" name="列5" headerRowDxfId="389" dataDxfId="388" totalsRowDxfId="387" headerRowCellStyle="桁区切り"/>
    <tableColumn id="6" xr3:uid="{32BAEE40-BAD9-4E4B-8838-8C8D637B3CCF}" name="列6" headerRowDxfId="386" dataDxfId="385" totalsRowDxfId="384" headerRowCellStyle="桁区切り"/>
    <tableColumn id="7" xr3:uid="{E0564961-52FD-4C50-9778-8953782C8BA2}" name="列7" totalsRowFunction="sum" headerRowDxfId="383" dataDxfId="382" totalsRowDxfId="381" headerRowCellStyle="桁区切り">
      <calculatedColumnFormula>リース費21[[#This Row],[列4]]*リース費21[[#This Row],[列6]]</calculatedColumnFormula>
    </tableColumn>
    <tableColumn id="8" xr3:uid="{1F35C98D-01A0-42F0-8C1A-EEDFB1359F27}" name="列8" totalsRowLabel="700,000 " headerRowDxfId="380" dataDxfId="379" totalsRowDxfId="378"/>
  </tableColumns>
  <tableStyleInfo name="原価表" showFirstColumn="1"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5186B43-22CC-4E00-9DC7-FBF4E6FB6CC2}" name="諸経費_22" displayName="諸経費_22" ref="A71:H76" headerRowCount="0" totalsRowCount="1" headerRowDxfId="377" dataDxfId="376" totalsRowDxfId="375">
  <tableColumns count="8">
    <tableColumn id="1" xr3:uid="{37D01A66-DDA3-4628-AC20-3568FFB7B7D0}" name="列1" totalsRowLabel="小計" headerRowDxfId="374" dataDxfId="373" totalsRowDxfId="372"/>
    <tableColumn id="2" xr3:uid="{DB12F961-3E66-4D95-B737-814BF4F9A295}" name="列2" headerRowDxfId="371" dataDxfId="370" totalsRowDxfId="369"/>
    <tableColumn id="3" xr3:uid="{1E126893-8C73-4FD6-9919-B322CF64BF8C}" name="列3" headerRowDxfId="368" dataDxfId="367" totalsRowDxfId="366"/>
    <tableColumn id="4" xr3:uid="{2C4DDC85-0A84-4551-A14E-F9C7DAE892C7}" name="列4" headerRowDxfId="365" dataDxfId="364" totalsRowDxfId="363" headerRowCellStyle="桁区切り"/>
    <tableColumn id="5" xr3:uid="{881084DB-CD1F-4183-BC58-06CBCCE6A13A}" name="列5" headerRowDxfId="362" dataDxfId="361" totalsRowDxfId="360" headerRowCellStyle="桁区切り"/>
    <tableColumn id="6" xr3:uid="{AC720C41-A687-42A1-A29F-DBD1070FFC71}" name="列6" headerRowDxfId="359" dataDxfId="358" totalsRowDxfId="357" headerRowCellStyle="桁区切り">
      <calculatedColumnFormula>H3*0.1</calculatedColumnFormula>
    </tableColumn>
    <tableColumn id="7" xr3:uid="{15B644C4-EFF8-4286-93F9-3BC9A791B097}" name="列7" totalsRowFunction="sum" headerRowDxfId="356" dataDxfId="355" totalsRowDxfId="354" headerRowCellStyle="桁区切り" totalsRowCellStyle="桁区切り">
      <calculatedColumnFormula>諸経費_22[[#This Row],[列4]]*諸経費_22[[#This Row],[列6]]</calculatedColumnFormula>
    </tableColumn>
    <tableColumn id="8" xr3:uid="{FA8632DA-EBEF-45DF-BF70-DA0838F6B124}" name="列8" totalsRowLabel="2,600,000 " headerRowDxfId="353" dataDxfId="352" totalsRowDxfId="351"/>
  </tableColumns>
  <tableStyleInfo name="原価表" showFirstColumn="1"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22CD51-4EAB-4615-981D-36B5C7BAA59D}" name="労務費_23" displayName="労務費_23" ref="A77:H81" headerRowCount="0" totalsRowCount="1" headerRowDxfId="350" dataDxfId="349" totalsRowDxfId="348">
  <tableColumns count="8">
    <tableColumn id="1" xr3:uid="{8086404E-0247-4A83-A08B-8BE57798EB55}" name="列1" totalsRowLabel="小計" headerRowDxfId="347" dataDxfId="346" totalsRowDxfId="345"/>
    <tableColumn id="2" xr3:uid="{5ED90FDF-A768-4952-AB3C-79B952BF1773}" name="列2" headerRowDxfId="344" dataDxfId="343" totalsRowDxfId="342"/>
    <tableColumn id="3" xr3:uid="{D801E2ED-38C0-4EB8-A8B7-F951869E4636}" name="列3" headerRowDxfId="341" dataDxfId="340" totalsRowDxfId="339"/>
    <tableColumn id="4" xr3:uid="{FEEEFA9E-FE51-431A-94C2-D312224687B1}" name="列4" headerRowDxfId="338" dataDxfId="337" totalsRowDxfId="336" headerRowCellStyle="桁区切り"/>
    <tableColumn id="5" xr3:uid="{870ADF13-4200-4947-9828-8EC8E24EE8E4}" name="列5" headerRowDxfId="335" dataDxfId="334" totalsRowDxfId="333" headerRowCellStyle="桁区切り"/>
    <tableColumn id="6" xr3:uid="{27056F62-F77A-4E32-878C-8F42CBF0C1FD}" name="列6" headerRowDxfId="332" dataDxfId="331" totalsRowDxfId="330" headerRowCellStyle="桁区切り"/>
    <tableColumn id="7" xr3:uid="{107A2BAB-EBF8-497D-81E1-3FC8F31B03EE}" name="列7" totalsRowFunction="sum" headerRowDxfId="329" dataDxfId="328" totalsRowDxfId="327" headerRowCellStyle="桁区切り"/>
    <tableColumn id="8" xr3:uid="{05D26668-4A94-42DF-AB63-8FF652A56BB8}" name="列8" totalsRowLabel="5,000,000 " headerRowDxfId="326" dataDxfId="325" totalsRowDxfId="324"/>
  </tableColumns>
  <tableStyleInfo name="原価表" showFirstColumn="1"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D3B7A88-223D-454F-80D6-C47758A3CE0D}" name="現場経費" displayName="現場経費" ref="A67:H70" headerRowCount="0" totalsRowCount="1" headerRowDxfId="323" dataDxfId="322" totalsRowDxfId="321">
  <tableColumns count="8">
    <tableColumn id="1" xr3:uid="{B7E8B894-1B3B-4942-9BE9-5B2CFBED2631}" name="列1" totalsRowLabel="小計" headerRowDxfId="320" dataDxfId="319" totalsRowDxfId="318"/>
    <tableColumn id="2" xr3:uid="{DE3CF5DE-C1D3-47FD-915B-6E31B8EC7EA9}" name="列2" headerRowDxfId="317" dataDxfId="316" totalsRowDxfId="315"/>
    <tableColumn id="3" xr3:uid="{4037456A-F654-4D39-A57A-249D3C734182}" name="列3" headerRowDxfId="314" dataDxfId="313" totalsRowDxfId="312"/>
    <tableColumn id="4" xr3:uid="{19B13956-6F6D-4839-8D04-AD3A435E38FF}" name="列4" headerRowDxfId="311" dataDxfId="310" totalsRowDxfId="309" headerRowCellStyle="桁区切り"/>
    <tableColumn id="5" xr3:uid="{59EBC813-57EB-46C0-BB40-A7C4949F1868}" name="列5" headerRowDxfId="308" dataDxfId="307" totalsRowDxfId="306" headerRowCellStyle="桁区切り"/>
    <tableColumn id="6" xr3:uid="{7D15EA9E-871B-4F68-BC67-6E07C6064B57}" name="列6" headerRowDxfId="305" dataDxfId="304" totalsRowDxfId="303" headerRowCellStyle="桁区切り"/>
    <tableColumn id="7" xr3:uid="{23B97CC9-92DE-408E-AF0D-72C459F427B3}" name="列7" totalsRowFunction="sum" headerRowDxfId="302" dataDxfId="301" totalsRowDxfId="300" headerRowCellStyle="桁区切り">
      <calculatedColumnFormula>現場経費[[#This Row],[列4]]*現場経費[[#This Row],[列6]]</calculatedColumnFormula>
    </tableColumn>
    <tableColumn id="8" xr3:uid="{E6A2F2BF-D3C0-4845-B2AC-E135726087A8}" name="列8" totalsRowLabel="400,000 " headerRowDxfId="299" dataDxfId="298" totalsRowDxfId="297"/>
  </tableColumns>
  <tableStyleInfo name="原価表" showFirstColumn="1" showLastColumn="0" showRowStripes="0" showColumnStripes="0"/>
</table>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6-03-03T05:19:20.79" personId="{FFFB667B-FEFF-4DCE-9417-BB5BF043B4E3}" id="{1DCEA896-0FBC-4EC5-BB32-437A3826BC68}">
    <text>現場名を入力</text>
  </threadedComment>
  <threadedComment ref="A2" dT="2026-03-03T05:18:57.47" personId="{FFFB667B-FEFF-4DCE-9417-BB5BF043B4E3}" id="{05CF990A-0D25-4E02-84C6-52951BD80570}">
    <text>シート名を反映するため、入力不要</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3-03T05:19:20.79" personId="{FFFB667B-FEFF-4DCE-9417-BB5BF043B4E3}" id="{13D71E21-0306-459C-863F-35CE79B140E5}">
    <text>現場名を入力</text>
  </threadedComment>
  <threadedComment ref="A2" dT="2026-03-03T05:18:57.47" personId="{FFFB667B-FEFF-4DCE-9417-BB5BF043B4E3}" id="{737E1A9B-BDA4-4C45-83AB-0906F8EF18A3}">
    <text>シート名を反映するため、入力不要</text>
  </threadedComment>
</ThreadedComments>
</file>

<file path=xl/worksheets/_rels/sheet1.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table" Target="../tables/table11.xml"/><Relationship Id="rId3" Type="http://schemas.openxmlformats.org/officeDocument/2006/relationships/table" Target="../tables/table1.xml"/><Relationship Id="rId7" Type="http://schemas.openxmlformats.org/officeDocument/2006/relationships/table" Target="../tables/table5.xml"/><Relationship Id="rId12" Type="http://schemas.openxmlformats.org/officeDocument/2006/relationships/table" Target="../tables/table10.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5" Type="http://schemas.microsoft.com/office/2017/10/relationships/threadedComment" Target="../threadedComments/threadedComment1.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 Id="rId1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3" Type="http://schemas.openxmlformats.org/officeDocument/2006/relationships/table" Target="../tables/table12.xml"/><Relationship Id="rId7" Type="http://schemas.openxmlformats.org/officeDocument/2006/relationships/table" Target="../tables/table16.xml"/><Relationship Id="rId12" Type="http://schemas.openxmlformats.org/officeDocument/2006/relationships/table" Target="../tables/table21.xml"/><Relationship Id="rId2" Type="http://schemas.openxmlformats.org/officeDocument/2006/relationships/vmlDrawing" Target="../drawings/vmlDrawing2.vml"/><Relationship Id="rId16" Type="http://schemas.microsoft.com/office/2017/10/relationships/threadedComment" Target="../threadedComments/threadedComment2.xml"/><Relationship Id="rId1" Type="http://schemas.openxmlformats.org/officeDocument/2006/relationships/printerSettings" Target="../printerSettings/printerSettings2.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comments" Target="../comments2.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F719F-89D4-4091-A5F4-DC6E868D670D}">
  <dimension ref="A1:I53"/>
  <sheetViews>
    <sheetView view="pageBreakPreview" zoomScaleNormal="100" zoomScaleSheetLayoutView="100" workbookViewId="0">
      <selection activeCell="C15" sqref="C15"/>
    </sheetView>
  </sheetViews>
  <sheetFormatPr defaultRowHeight="16.5" x14ac:dyDescent="0.4"/>
  <cols>
    <col min="1" max="1" width="11.625" style="1" customWidth="1"/>
    <col min="2" max="3" width="18.625" style="1" customWidth="1"/>
    <col min="4" max="4" width="6.125" style="1" customWidth="1"/>
    <col min="5" max="5" width="4.125" style="1" customWidth="1"/>
    <col min="6" max="6" width="10.625" style="2" customWidth="1"/>
    <col min="7" max="8" width="10.625" style="3" customWidth="1"/>
    <col min="9" max="9" width="6.5" style="1" customWidth="1"/>
    <col min="10" max="16384" width="9" style="1"/>
  </cols>
  <sheetData>
    <row r="1" spans="1:9" x14ac:dyDescent="0.4">
      <c r="A1" s="13" t="s">
        <v>25</v>
      </c>
    </row>
    <row r="2" spans="1:9" x14ac:dyDescent="0.4">
      <c r="A2" s="12" t="str">
        <f ca="1">TEXT(MID(CELL("filename",A1),FIND("]",CELL("filename",A1))+1,99),"@")</f>
        <v>原本</v>
      </c>
      <c r="G2" s="8" t="s">
        <v>23</v>
      </c>
      <c r="H2" s="8" t="s">
        <v>24</v>
      </c>
      <c r="I2" s="9" t="s">
        <v>10</v>
      </c>
    </row>
    <row r="3" spans="1:9" x14ac:dyDescent="0.4">
      <c r="F3" s="11"/>
      <c r="G3" s="4">
        <f>機器[[#Totals],[列7]]+フリーザー[[#Totals],[列7]]+建築工事[[#Totals],[列7]]+電気工事[[#Totals],[列7]]+重量・運搬工事[[#Totals],[列7]]+熱絶縁工事[[#Totals],[列7]]+仮設工事[[#Totals],[列7]]+リース費[[#Totals],[列7]]+諸経費[[#Totals],[列7]]+労務費[[#Totals],[列7]]</f>
        <v>0</v>
      </c>
      <c r="H3" s="6">
        <f>機器[[#Totals],[列8]]+フリーザー[[#Totals],[列8]]+建築工事[[#Totals],[列8]]+電気工事[[#Totals],[列8]]+設備工事[[#Totals],[列8]]+重量・運搬工事[[#Totals],[列8]]+熱絶縁工事[[#Totals],[列8]]+仮設工事[[#Totals],[列8]]+リース費[[#Totals],[列8]]+諸経費[[#Totals],[列8]]+労務費[[#Totals],[列8]]</f>
        <v>10</v>
      </c>
      <c r="I3" s="5">
        <f>1-G3/H3</f>
        <v>1</v>
      </c>
    </row>
    <row r="4" spans="1:9" x14ac:dyDescent="0.4">
      <c r="F4" s="10"/>
      <c r="G4" s="7"/>
      <c r="H4" s="6">
        <f>G3/(1-I4)</f>
        <v>0</v>
      </c>
      <c r="I4" s="5">
        <v>0.35</v>
      </c>
    </row>
    <row r="6" spans="1:9" x14ac:dyDescent="0.4">
      <c r="A6" s="33"/>
      <c r="B6" s="29" t="s">
        <v>5</v>
      </c>
      <c r="C6" s="29" t="s">
        <v>6</v>
      </c>
      <c r="D6" s="29" t="s">
        <v>2</v>
      </c>
      <c r="E6" s="29" t="s">
        <v>8</v>
      </c>
      <c r="F6" s="30" t="s">
        <v>7</v>
      </c>
      <c r="G6" s="31" t="s">
        <v>9</v>
      </c>
      <c r="H6" s="34" t="s">
        <v>4</v>
      </c>
      <c r="I6" s="32"/>
    </row>
    <row r="7" spans="1:9" x14ac:dyDescent="0.4">
      <c r="A7" s="26" t="s">
        <v>11</v>
      </c>
      <c r="B7" s="15"/>
      <c r="C7" s="15"/>
      <c r="D7" s="15"/>
      <c r="E7" s="15"/>
      <c r="F7" s="16"/>
      <c r="G7" s="17">
        <f>機器[[#This Row],[列4]]*機器[[#This Row],[列6]]</f>
        <v>0</v>
      </c>
      <c r="H7" s="18"/>
    </row>
    <row r="8" spans="1:9" x14ac:dyDescent="0.4">
      <c r="A8" s="27"/>
      <c r="B8" s="15"/>
      <c r="C8" s="15"/>
      <c r="D8" s="15"/>
      <c r="E8" s="15"/>
      <c r="F8" s="16"/>
      <c r="G8" s="17">
        <f>機器[[#This Row],[列4]]*機器[[#This Row],[列6]]</f>
        <v>0</v>
      </c>
      <c r="H8" s="18"/>
    </row>
    <row r="9" spans="1:9" x14ac:dyDescent="0.4">
      <c r="A9" s="27"/>
      <c r="B9" s="15"/>
      <c r="C9" s="15"/>
      <c r="D9" s="15"/>
      <c r="E9" s="15"/>
      <c r="F9" s="16"/>
      <c r="G9" s="17">
        <f>機器[[#This Row],[列4]]*機器[[#This Row],[列6]]</f>
        <v>0</v>
      </c>
      <c r="H9" s="18"/>
    </row>
    <row r="10" spans="1:9" x14ac:dyDescent="0.4">
      <c r="A10" s="27"/>
      <c r="B10" s="15"/>
      <c r="C10" s="15"/>
      <c r="D10" s="15"/>
      <c r="E10" s="15"/>
      <c r="F10" s="16"/>
      <c r="G10" s="17">
        <f>機器[[#This Row],[列4]]*機器[[#This Row],[列6]]</f>
        <v>0</v>
      </c>
      <c r="H10" s="18"/>
    </row>
    <row r="11" spans="1:9" x14ac:dyDescent="0.4">
      <c r="A11" s="28" t="s">
        <v>21</v>
      </c>
      <c r="B11" s="15"/>
      <c r="C11" s="15"/>
      <c r="D11" s="15"/>
      <c r="E11" s="15"/>
      <c r="F11" s="15"/>
      <c r="G11" s="17">
        <f>SUBTOTAL(109,機器[列7])</f>
        <v>0</v>
      </c>
      <c r="H11" s="20" t="s">
        <v>22</v>
      </c>
    </row>
    <row r="12" spans="1:9" x14ac:dyDescent="0.4">
      <c r="A12" s="26" t="s">
        <v>12</v>
      </c>
      <c r="B12" s="15"/>
      <c r="C12" s="15"/>
      <c r="D12" s="15"/>
      <c r="E12" s="15"/>
      <c r="F12" s="16"/>
      <c r="G12" s="17">
        <f>フリーザー[[#This Row],[列4]]*フリーザー[[#This Row],[列6]]</f>
        <v>0</v>
      </c>
      <c r="H12" s="18"/>
    </row>
    <row r="13" spans="1:9" x14ac:dyDescent="0.4">
      <c r="A13" s="27"/>
      <c r="B13" s="15"/>
      <c r="C13" s="15"/>
      <c r="D13" s="15"/>
      <c r="E13" s="15"/>
      <c r="F13" s="16"/>
      <c r="G13" s="17">
        <f>フリーザー[[#This Row],[列4]]*フリーザー[[#This Row],[列6]]</f>
        <v>0</v>
      </c>
      <c r="H13" s="18"/>
    </row>
    <row r="14" spans="1:9" x14ac:dyDescent="0.4">
      <c r="A14" s="27"/>
      <c r="B14" s="15"/>
      <c r="C14" s="15"/>
      <c r="D14" s="15"/>
      <c r="E14" s="15"/>
      <c r="F14" s="16"/>
      <c r="G14" s="17">
        <f>フリーザー[[#This Row],[列4]]*フリーザー[[#This Row],[列6]]</f>
        <v>0</v>
      </c>
      <c r="H14" s="18"/>
    </row>
    <row r="15" spans="1:9" x14ac:dyDescent="0.4">
      <c r="A15" s="28" t="s">
        <v>21</v>
      </c>
      <c r="B15" s="15"/>
      <c r="C15" s="15"/>
      <c r="D15" s="15"/>
      <c r="E15" s="15"/>
      <c r="F15" s="15"/>
      <c r="G15" s="17">
        <f>SUBTOTAL(109,フリーザー[列7])</f>
        <v>0</v>
      </c>
      <c r="H15" s="21" t="s">
        <v>15</v>
      </c>
    </row>
    <row r="16" spans="1:9" x14ac:dyDescent="0.4">
      <c r="A16" s="27" t="s">
        <v>16</v>
      </c>
      <c r="B16" s="15"/>
      <c r="C16" s="15"/>
      <c r="D16" s="17"/>
      <c r="E16" s="17"/>
      <c r="F16" s="16"/>
      <c r="G16" s="17">
        <f>建築工事[[#This Row],[列4]]*建築工事[[#This Row],[列6]]</f>
        <v>0</v>
      </c>
      <c r="H16" s="18"/>
    </row>
    <row r="17" spans="1:8" x14ac:dyDescent="0.4">
      <c r="A17" s="27"/>
      <c r="B17" s="15"/>
      <c r="C17" s="15"/>
      <c r="D17" s="17"/>
      <c r="E17" s="17"/>
      <c r="F17" s="16"/>
      <c r="G17" s="17">
        <f>建築工事[[#This Row],[列4]]*建築工事[[#This Row],[列6]]</f>
        <v>0</v>
      </c>
      <c r="H17" s="18"/>
    </row>
    <row r="18" spans="1:8" x14ac:dyDescent="0.4">
      <c r="A18" s="27"/>
      <c r="B18" s="15"/>
      <c r="C18" s="15"/>
      <c r="D18" s="17"/>
      <c r="E18" s="17"/>
      <c r="F18" s="16"/>
      <c r="G18" s="17">
        <f>建築工事[[#This Row],[列4]]*建築工事[[#This Row],[列6]]</f>
        <v>0</v>
      </c>
      <c r="H18" s="18"/>
    </row>
    <row r="19" spans="1:8" x14ac:dyDescent="0.4">
      <c r="A19" s="28" t="s">
        <v>21</v>
      </c>
      <c r="B19" s="15"/>
      <c r="C19" s="15"/>
      <c r="D19" s="15"/>
      <c r="E19" s="15"/>
      <c r="F19" s="15"/>
      <c r="G19" s="17">
        <f>SUBTOTAL(109,建築工事[列7])</f>
        <v>0</v>
      </c>
      <c r="H19" s="19" t="s">
        <v>15</v>
      </c>
    </row>
    <row r="20" spans="1:8" x14ac:dyDescent="0.4">
      <c r="A20" s="27" t="s">
        <v>17</v>
      </c>
      <c r="B20" s="15"/>
      <c r="C20" s="15"/>
      <c r="D20" s="22"/>
      <c r="E20" s="22"/>
      <c r="F20" s="22"/>
      <c r="G20" s="23">
        <f>電気工事[[#This Row],[列4]]*電気工事[[#This Row],[列6]]</f>
        <v>0</v>
      </c>
      <c r="H20" s="18"/>
    </row>
    <row r="21" spans="1:8" x14ac:dyDescent="0.4">
      <c r="A21" s="27"/>
      <c r="B21" s="15"/>
      <c r="C21" s="15"/>
      <c r="D21" s="15"/>
      <c r="E21" s="15"/>
      <c r="F21" s="22"/>
      <c r="G21" s="17">
        <f>電気工事[[#This Row],[列4]]*電気工事[[#This Row],[列6]]</f>
        <v>0</v>
      </c>
      <c r="H21" s="18"/>
    </row>
    <row r="22" spans="1:8" x14ac:dyDescent="0.4">
      <c r="A22" s="28" t="s">
        <v>21</v>
      </c>
      <c r="B22" s="15"/>
      <c r="C22" s="15"/>
      <c r="D22" s="15"/>
      <c r="E22" s="15"/>
      <c r="F22" s="15"/>
      <c r="G22" s="17">
        <f>SUBTOTAL(109,電気工事[列7])</f>
        <v>0</v>
      </c>
      <c r="H22" s="19" t="s">
        <v>15</v>
      </c>
    </row>
    <row r="23" spans="1:8" x14ac:dyDescent="0.4">
      <c r="A23" s="27" t="s">
        <v>13</v>
      </c>
      <c r="B23" s="15"/>
      <c r="C23" s="15"/>
      <c r="D23" s="15"/>
      <c r="E23" s="15"/>
      <c r="F23" s="22"/>
      <c r="G23" s="17">
        <f>設備工事[[#This Row],[列4]]*設備工事[[#This Row],[列6]]</f>
        <v>0</v>
      </c>
      <c r="H23" s="18"/>
    </row>
    <row r="24" spans="1:8" x14ac:dyDescent="0.4">
      <c r="A24" s="27"/>
      <c r="B24" s="15"/>
      <c r="C24" s="15"/>
      <c r="D24" s="15"/>
      <c r="E24" s="15"/>
      <c r="F24" s="22"/>
      <c r="G24" s="17">
        <f>設備工事[[#This Row],[列4]]*設備工事[[#This Row],[列6]]</f>
        <v>0</v>
      </c>
      <c r="H24" s="18"/>
    </row>
    <row r="25" spans="1:8" x14ac:dyDescent="0.4">
      <c r="A25" s="27"/>
      <c r="B25" s="15"/>
      <c r="C25" s="15"/>
      <c r="D25" s="15"/>
      <c r="E25" s="15"/>
      <c r="F25" s="22"/>
      <c r="G25" s="17">
        <f>設備工事[[#This Row],[列4]]*設備工事[[#This Row],[列6]]</f>
        <v>0</v>
      </c>
      <c r="H25" s="18"/>
    </row>
    <row r="26" spans="1:8" x14ac:dyDescent="0.4">
      <c r="A26" s="28" t="s">
        <v>21</v>
      </c>
      <c r="B26" s="15"/>
      <c r="C26" s="15"/>
      <c r="D26" s="15"/>
      <c r="E26" s="15"/>
      <c r="F26" s="15"/>
      <c r="G26" s="17">
        <f>SUBTOTAL(109,設備工事[列7])</f>
        <v>0</v>
      </c>
      <c r="H26" s="19" t="s">
        <v>15</v>
      </c>
    </row>
    <row r="27" spans="1:8" x14ac:dyDescent="0.4">
      <c r="A27" s="27" t="s">
        <v>14</v>
      </c>
      <c r="B27" s="15"/>
      <c r="C27" s="15"/>
      <c r="D27" s="15"/>
      <c r="E27" s="15"/>
      <c r="F27" s="22"/>
      <c r="G27" s="17">
        <f>重量・運搬工事[[#This Row],[列4]]*重量・運搬工事[[#This Row],[列6]]</f>
        <v>0</v>
      </c>
      <c r="H27" s="18"/>
    </row>
    <row r="28" spans="1:8" x14ac:dyDescent="0.4">
      <c r="A28" s="27"/>
      <c r="B28" s="15"/>
      <c r="C28" s="15"/>
      <c r="D28" s="15"/>
      <c r="E28" s="15"/>
      <c r="F28" s="22"/>
      <c r="G28" s="17">
        <f>重量・運搬工事[[#This Row],[列4]]*重量・運搬工事[[#This Row],[列6]]</f>
        <v>0</v>
      </c>
      <c r="H28" s="18"/>
    </row>
    <row r="29" spans="1:8" x14ac:dyDescent="0.4">
      <c r="A29" s="27"/>
      <c r="B29" s="15"/>
      <c r="C29" s="15"/>
      <c r="D29" s="15"/>
      <c r="E29" s="15"/>
      <c r="F29" s="22"/>
      <c r="G29" s="17">
        <f>重量・運搬工事[[#This Row],[列4]]*重量・運搬工事[[#This Row],[列6]]</f>
        <v>0</v>
      </c>
      <c r="H29" s="18"/>
    </row>
    <row r="30" spans="1:8" x14ac:dyDescent="0.4">
      <c r="A30" s="27"/>
      <c r="B30" s="15"/>
      <c r="C30" s="15"/>
      <c r="D30" s="15"/>
      <c r="E30" s="15"/>
      <c r="F30" s="22"/>
      <c r="G30" s="17">
        <f>重量・運搬工事[[#This Row],[列4]]*重量・運搬工事[[#This Row],[列6]]</f>
        <v>0</v>
      </c>
      <c r="H30" s="18"/>
    </row>
    <row r="31" spans="1:8" x14ac:dyDescent="0.4">
      <c r="A31" s="28" t="s">
        <v>21</v>
      </c>
      <c r="B31" s="15"/>
      <c r="C31" s="15"/>
      <c r="D31" s="15"/>
      <c r="E31" s="15"/>
      <c r="F31" s="15"/>
      <c r="G31" s="17">
        <f>SUBTOTAL(109,重量・運搬工事[列7])</f>
        <v>0</v>
      </c>
      <c r="H31" s="19" t="s">
        <v>15</v>
      </c>
    </row>
    <row r="32" spans="1:8" x14ac:dyDescent="0.4">
      <c r="A32" s="27" t="s">
        <v>18</v>
      </c>
      <c r="B32" s="15"/>
      <c r="C32" s="15"/>
      <c r="D32" s="15"/>
      <c r="E32" s="15"/>
      <c r="F32" s="22"/>
      <c r="G32" s="17">
        <f>熱絶縁工事[[#This Row],[列4]]*熱絶縁工事[[#This Row],[列6]]</f>
        <v>0</v>
      </c>
      <c r="H32" s="18"/>
    </row>
    <row r="33" spans="1:8" x14ac:dyDescent="0.4">
      <c r="A33" s="27"/>
      <c r="B33" s="15"/>
      <c r="C33" s="15"/>
      <c r="D33" s="15"/>
      <c r="E33" s="15"/>
      <c r="F33" s="22"/>
      <c r="G33" s="17">
        <f>熱絶縁工事[[#This Row],[列4]]*熱絶縁工事[[#This Row],[列6]]</f>
        <v>0</v>
      </c>
      <c r="H33" s="18"/>
    </row>
    <row r="34" spans="1:8" x14ac:dyDescent="0.4">
      <c r="A34" s="27"/>
      <c r="B34" s="15"/>
      <c r="C34" s="15"/>
      <c r="D34" s="15"/>
      <c r="E34" s="15"/>
      <c r="F34" s="22"/>
      <c r="G34" s="17">
        <f>熱絶縁工事[[#This Row],[列4]]*熱絶縁工事[[#This Row],[列6]]</f>
        <v>0</v>
      </c>
      <c r="H34" s="18"/>
    </row>
    <row r="35" spans="1:8" x14ac:dyDescent="0.4">
      <c r="A35" s="28" t="s">
        <v>21</v>
      </c>
      <c r="B35" s="15"/>
      <c r="C35" s="15"/>
      <c r="D35" s="15"/>
      <c r="E35" s="15"/>
      <c r="F35" s="15"/>
      <c r="G35" s="17">
        <f>SUBTOTAL(109,熱絶縁工事[列7])</f>
        <v>0</v>
      </c>
      <c r="H35" s="18" t="s">
        <v>22</v>
      </c>
    </row>
    <row r="36" spans="1:8" x14ac:dyDescent="0.4">
      <c r="A36" s="27" t="s">
        <v>0</v>
      </c>
      <c r="B36" s="15"/>
      <c r="C36" s="15"/>
      <c r="D36" s="24"/>
      <c r="E36" s="25"/>
      <c r="F36" s="22"/>
      <c r="G36" s="23"/>
      <c r="H36" s="18"/>
    </row>
    <row r="37" spans="1:8" x14ac:dyDescent="0.4">
      <c r="A37" s="27"/>
      <c r="B37" s="15"/>
      <c r="C37" s="15"/>
      <c r="D37" s="15"/>
      <c r="E37" s="15"/>
      <c r="F37" s="22"/>
      <c r="G37" s="17"/>
      <c r="H37" s="18"/>
    </row>
    <row r="38" spans="1:8" x14ac:dyDescent="0.4">
      <c r="A38" s="27"/>
      <c r="B38" s="15"/>
      <c r="C38" s="15"/>
      <c r="D38" s="15"/>
      <c r="E38" s="15"/>
      <c r="F38" s="22"/>
      <c r="G38" s="17"/>
      <c r="H38" s="18"/>
    </row>
    <row r="39" spans="1:8" x14ac:dyDescent="0.4">
      <c r="A39" s="28" t="s">
        <v>21</v>
      </c>
      <c r="B39" s="15"/>
      <c r="C39" s="15"/>
      <c r="D39" s="15"/>
      <c r="E39" s="15"/>
      <c r="F39" s="15"/>
      <c r="G39" s="15"/>
      <c r="H39" s="18" t="s">
        <v>22</v>
      </c>
    </row>
    <row r="40" spans="1:8" x14ac:dyDescent="0.4">
      <c r="A40" s="27" t="s">
        <v>19</v>
      </c>
      <c r="B40" s="15"/>
      <c r="C40" s="15"/>
      <c r="D40" s="24"/>
      <c r="E40" s="25"/>
      <c r="F40" s="22"/>
      <c r="G40" s="23"/>
      <c r="H40" s="18"/>
    </row>
    <row r="41" spans="1:8" x14ac:dyDescent="0.4">
      <c r="A41" s="27"/>
      <c r="B41" s="15"/>
      <c r="C41" s="15"/>
      <c r="D41" s="15"/>
      <c r="E41" s="15"/>
      <c r="F41" s="22"/>
      <c r="G41" s="17"/>
      <c r="H41" s="18"/>
    </row>
    <row r="42" spans="1:8" x14ac:dyDescent="0.4">
      <c r="A42" s="27"/>
      <c r="B42" s="15"/>
      <c r="C42" s="15"/>
      <c r="D42" s="15"/>
      <c r="E42" s="15"/>
      <c r="F42" s="22"/>
      <c r="G42" s="17">
        <f>SUM(G40:G41)</f>
        <v>0</v>
      </c>
      <c r="H42" s="18"/>
    </row>
    <row r="43" spans="1:8" x14ac:dyDescent="0.4">
      <c r="A43" s="28" t="s">
        <v>21</v>
      </c>
      <c r="B43" s="15"/>
      <c r="C43" s="15"/>
      <c r="D43" s="15"/>
      <c r="E43" s="15"/>
      <c r="F43" s="15"/>
      <c r="G43" s="15"/>
      <c r="H43" s="18" t="s">
        <v>22</v>
      </c>
    </row>
    <row r="44" spans="1:8" x14ac:dyDescent="0.4">
      <c r="A44" s="27" t="s">
        <v>1</v>
      </c>
      <c r="B44" s="15"/>
      <c r="C44" s="15"/>
      <c r="D44" s="24"/>
      <c r="E44" s="25"/>
      <c r="F44" s="22"/>
      <c r="G44" s="23"/>
      <c r="H44" s="18"/>
    </row>
    <row r="45" spans="1:8" x14ac:dyDescent="0.4">
      <c r="A45" s="27"/>
      <c r="B45" s="15"/>
      <c r="C45" s="15"/>
      <c r="D45" s="15"/>
      <c r="E45" s="15"/>
      <c r="F45" s="22"/>
      <c r="G45" s="17"/>
      <c r="H45" s="18"/>
    </row>
    <row r="46" spans="1:8" x14ac:dyDescent="0.4">
      <c r="A46" s="27"/>
      <c r="B46" s="15"/>
      <c r="C46" s="15"/>
      <c r="D46" s="15"/>
      <c r="E46" s="15"/>
      <c r="F46" s="22"/>
      <c r="G46" s="17">
        <f>SUM(G44:G45)</f>
        <v>0</v>
      </c>
      <c r="H46" s="18"/>
    </row>
    <row r="47" spans="1:8" x14ac:dyDescent="0.4">
      <c r="A47" s="28" t="s">
        <v>21</v>
      </c>
      <c r="B47" s="15"/>
      <c r="C47" s="15"/>
      <c r="D47" s="15"/>
      <c r="E47" s="15"/>
      <c r="F47" s="15"/>
      <c r="G47" s="15"/>
      <c r="H47" s="18">
        <f>SUBTOTAL(109,諸経費[列8])</f>
        <v>0</v>
      </c>
    </row>
    <row r="48" spans="1:8" x14ac:dyDescent="0.4">
      <c r="A48" s="27" t="s">
        <v>20</v>
      </c>
      <c r="B48" s="15"/>
      <c r="C48" s="15"/>
      <c r="D48" s="24"/>
      <c r="E48" s="25"/>
      <c r="F48" s="22"/>
      <c r="G48" s="23"/>
      <c r="H48" s="18"/>
    </row>
    <row r="49" spans="1:8" x14ac:dyDescent="0.4">
      <c r="A49" s="27"/>
      <c r="B49" s="15"/>
      <c r="C49" s="15"/>
      <c r="D49" s="15"/>
      <c r="E49" s="15"/>
      <c r="F49" s="22"/>
      <c r="G49" s="17"/>
      <c r="H49" s="18"/>
    </row>
    <row r="50" spans="1:8" x14ac:dyDescent="0.4">
      <c r="A50" s="27"/>
      <c r="B50" s="15"/>
      <c r="C50" s="15"/>
      <c r="D50" s="15"/>
      <c r="E50" s="15"/>
      <c r="F50" s="22"/>
      <c r="G50" s="17"/>
      <c r="H50" s="18"/>
    </row>
    <row r="51" spans="1:8" x14ac:dyDescent="0.4">
      <c r="A51" s="27"/>
      <c r="B51" s="15"/>
      <c r="C51" s="15"/>
      <c r="D51" s="15"/>
      <c r="E51" s="15"/>
      <c r="F51" s="22"/>
      <c r="G51" s="17">
        <f>SUM(G48:G50)</f>
        <v>0</v>
      </c>
      <c r="H51" s="18"/>
    </row>
    <row r="52" spans="1:8" x14ac:dyDescent="0.4">
      <c r="A52" s="28" t="s">
        <v>21</v>
      </c>
      <c r="B52" s="15"/>
      <c r="C52" s="15"/>
      <c r="D52" s="15"/>
      <c r="E52" s="15"/>
      <c r="F52" s="15"/>
      <c r="G52" s="15"/>
      <c r="H52" s="18" t="s">
        <v>22</v>
      </c>
    </row>
    <row r="53" spans="1:8" x14ac:dyDescent="0.4">
      <c r="H53" s="14"/>
    </row>
  </sheetData>
  <phoneticPr fontId="1"/>
  <dataValidations disablePrompts="1" count="1">
    <dataValidation type="list" allowBlank="1" showInputMessage="1" showErrorMessage="1" sqref="E7" xr:uid="{5C1FA850-8C3B-4FDA-86E3-BCB278F3DBA0}">
      <formula1>"個,台,m,㎡,㎥,式"</formula1>
    </dataValidation>
  </dataValidations>
  <pageMargins left="0.23622047244094491" right="0.23622047244094491" top="0.74803149606299213" bottom="0.74803149606299213" header="0.31496062992125984" footer="0.31496062992125984"/>
  <pageSetup paperSize="9" orientation="portrait" r:id="rId1"/>
  <headerFooter>
    <oddHeader>&amp;L&amp;10【社外秘】工事原価表　&amp;R&amp;9更新日： &amp;D  &amp;T</oddHeader>
    <oddFooter>&amp;C&amp;9フードテクノエンジニアリング株式会社&amp;R&amp;9作成者：　0296</oddFooter>
  </headerFooter>
  <legacyDrawing r:id="rId2"/>
  <tableParts count="11">
    <tablePart r:id="rId3"/>
    <tablePart r:id="rId4"/>
    <tablePart r:id="rId5"/>
    <tablePart r:id="rId6"/>
    <tablePart r:id="rId7"/>
    <tablePart r:id="rId8"/>
    <tablePart r:id="rId9"/>
    <tablePart r:id="rId10"/>
    <tablePart r:id="rId11"/>
    <tablePart r:id="rId12"/>
    <tablePart r:id="rId1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A964E-3062-425E-9D7B-8010AE011428}">
  <sheetPr>
    <tabColor rgb="FFFF0000"/>
  </sheetPr>
  <dimension ref="A1:I82"/>
  <sheetViews>
    <sheetView tabSelected="1" view="pageBreakPreview" topLeftCell="A71" zoomScaleNormal="100" zoomScaleSheetLayoutView="100" workbookViewId="0">
      <selection activeCell="I82" sqref="I82"/>
    </sheetView>
  </sheetViews>
  <sheetFormatPr defaultRowHeight="16.5" x14ac:dyDescent="0.4"/>
  <cols>
    <col min="1" max="1" width="9.125" style="1" customWidth="1"/>
    <col min="2" max="3" width="15.625" style="52" customWidth="1"/>
    <col min="4" max="4" width="5.625" style="1" customWidth="1"/>
    <col min="5" max="5" width="4.125" style="1" customWidth="1"/>
    <col min="6" max="6" width="9.625" style="2" customWidth="1"/>
    <col min="7" max="8" width="9.625" style="3" customWidth="1"/>
    <col min="9" max="9" width="10.625" style="52" customWidth="1"/>
    <col min="10" max="10" width="5.625" style="1" customWidth="1"/>
    <col min="11" max="16384" width="9" style="1"/>
  </cols>
  <sheetData>
    <row r="1" spans="1:9" x14ac:dyDescent="0.4">
      <c r="A1" s="13" t="s">
        <v>94</v>
      </c>
    </row>
    <row r="2" spans="1:9" x14ac:dyDescent="0.4">
      <c r="A2" s="12" t="str">
        <f ca="1">TEXT(MID(CELL("filename",A1),FIND("]",CELL("filename",A1))+1,99),"@")</f>
        <v>ホイップクリーム凍結庫設置工事</v>
      </c>
      <c r="G2" s="47" t="s">
        <v>23</v>
      </c>
      <c r="H2" s="47" t="s">
        <v>24</v>
      </c>
      <c r="I2" s="55" t="s">
        <v>10</v>
      </c>
    </row>
    <row r="3" spans="1:9" x14ac:dyDescent="0.4">
      <c r="F3" s="11"/>
      <c r="G3" s="48">
        <f>機器_2[[#Totals],[列7]]+フリーザー14[[#Totals],[列7]]+建築工事15[[#Totals],[列7]]+電気工事16[[#Totals],[列7]]+重量・運搬工事18[[#Totals],[列7]]+熱絶縁工事19[[#Totals],[列7]]+仮設工事20[[#Totals],[列7]]+リース費21[[#Totals],[列7]]+諸経費_22[[#Totals],[列7]]+労務費_23[[#Totals],[列7]]</f>
        <v>32007691.794339623</v>
      </c>
      <c r="H3" s="49">
        <f>機器_2[[#Totals],[列8]]+フリーザー14[[#Totals],[列8]]+建築工事15[[#Totals],[列8]]+電気工事16[[#Totals],[列8]]+設備工事17[[#Totals],[列8]]+重量・運搬工事18[[#Totals],[列8]]+熱絶縁工事19[[#Totals],[列8]]+仮設工事20[[#Totals],[列8]]+リース費21[[#Totals],[列8]]+諸経費_22[[#Totals],[列8]]+労務費_23[[#Totals],[列8]]</f>
        <v>41900000</v>
      </c>
      <c r="I3" s="56">
        <f>1-G3/H3</f>
        <v>0.2360932745980997</v>
      </c>
    </row>
    <row r="4" spans="1:9" x14ac:dyDescent="0.4">
      <c r="F4" s="10"/>
      <c r="G4" s="50"/>
      <c r="H4" s="51">
        <f>ROUNDUP(G3/(1-I4),-4)</f>
        <v>49250000</v>
      </c>
      <c r="I4" s="57">
        <v>0.35</v>
      </c>
    </row>
    <row r="6" spans="1:9" x14ac:dyDescent="0.4">
      <c r="A6" s="33"/>
      <c r="B6" s="53" t="s">
        <v>5</v>
      </c>
      <c r="C6" s="53" t="s">
        <v>6</v>
      </c>
      <c r="D6" s="29" t="s">
        <v>2</v>
      </c>
      <c r="E6" s="29" t="s">
        <v>8</v>
      </c>
      <c r="F6" s="30" t="s">
        <v>7</v>
      </c>
      <c r="G6" s="31" t="s">
        <v>9</v>
      </c>
      <c r="H6" s="34" t="s">
        <v>112</v>
      </c>
      <c r="I6" s="58"/>
    </row>
    <row r="7" spans="1:9" x14ac:dyDescent="0.4">
      <c r="A7" s="26" t="s">
        <v>11</v>
      </c>
      <c r="B7" s="27" t="s">
        <v>27</v>
      </c>
      <c r="C7" s="27" t="s">
        <v>26</v>
      </c>
      <c r="D7" s="15">
        <v>2</v>
      </c>
      <c r="E7" s="15" t="s">
        <v>28</v>
      </c>
      <c r="F7" s="16">
        <v>580000</v>
      </c>
      <c r="G7" s="17">
        <f>機器_2[[#This Row],[列4]]*機器_2[[#This Row],[列6]]</f>
        <v>1160000</v>
      </c>
      <c r="H7" s="18"/>
      <c r="I7" s="58" t="s">
        <v>131</v>
      </c>
    </row>
    <row r="8" spans="1:9" x14ac:dyDescent="0.4">
      <c r="A8" s="27"/>
      <c r="B8" s="27" t="s">
        <v>40</v>
      </c>
      <c r="C8" s="27" t="s">
        <v>135</v>
      </c>
      <c r="D8" s="15">
        <v>2</v>
      </c>
      <c r="E8" s="15" t="s">
        <v>28</v>
      </c>
      <c r="F8" s="16">
        <v>2128600</v>
      </c>
      <c r="G8" s="17">
        <f>機器_2[[#This Row],[列4]]*機器_2[[#This Row],[列6]]</f>
        <v>4257200</v>
      </c>
      <c r="H8" s="18"/>
      <c r="I8" s="58" t="s">
        <v>133</v>
      </c>
    </row>
    <row r="9" spans="1:9" x14ac:dyDescent="0.4">
      <c r="A9" s="27"/>
      <c r="B9" s="27" t="s">
        <v>108</v>
      </c>
      <c r="C9" s="27"/>
      <c r="D9" s="15">
        <v>2</v>
      </c>
      <c r="E9" s="15" t="s">
        <v>109</v>
      </c>
      <c r="F9" s="16">
        <v>80000</v>
      </c>
      <c r="G9" s="17">
        <f>機器_2[[#This Row],[列4]]*機器_2[[#This Row],[列6]]</f>
        <v>160000</v>
      </c>
      <c r="H9" s="18"/>
      <c r="I9" s="58"/>
    </row>
    <row r="10" spans="1:9" x14ac:dyDescent="0.4">
      <c r="A10" s="27"/>
      <c r="B10" s="27" t="s">
        <v>128</v>
      </c>
      <c r="C10" s="27" t="s">
        <v>129</v>
      </c>
      <c r="D10" s="15">
        <v>18</v>
      </c>
      <c r="E10" s="15" t="s">
        <v>28</v>
      </c>
      <c r="F10" s="16">
        <f>900*64.2+35000*12</f>
        <v>477780</v>
      </c>
      <c r="G10" s="17">
        <f>機器_2[[#This Row],[列4]]*機器_2[[#This Row],[列6]]</f>
        <v>8600040</v>
      </c>
      <c r="H10" s="18"/>
      <c r="I10" s="58" t="s">
        <v>134</v>
      </c>
    </row>
    <row r="11" spans="1:9" x14ac:dyDescent="0.4">
      <c r="A11" s="27"/>
      <c r="B11" s="27" t="s">
        <v>127</v>
      </c>
      <c r="C11" s="27" t="s">
        <v>130</v>
      </c>
      <c r="D11" s="15">
        <f>18*2*13</f>
        <v>468</v>
      </c>
      <c r="E11" s="15" t="s">
        <v>95</v>
      </c>
      <c r="F11" s="16">
        <f>492*3.5+5000</f>
        <v>6722</v>
      </c>
      <c r="G11" s="17">
        <f>機器_2[[#This Row],[列4]]*機器_2[[#This Row],[列6]]</f>
        <v>3145896</v>
      </c>
      <c r="H11" s="18"/>
      <c r="I11" s="58" t="s">
        <v>96</v>
      </c>
    </row>
    <row r="12" spans="1:9" x14ac:dyDescent="0.4">
      <c r="A12" s="27"/>
      <c r="B12" s="27"/>
      <c r="C12" s="27"/>
      <c r="D12" s="15"/>
      <c r="E12" s="15"/>
      <c r="F12" s="16"/>
      <c r="G12" s="17">
        <f>機器_2[[#This Row],[列4]]*機器_2[[#This Row],[列6]]</f>
        <v>0</v>
      </c>
      <c r="H12" s="18"/>
      <c r="I12" s="58"/>
    </row>
    <row r="13" spans="1:9" x14ac:dyDescent="0.4">
      <c r="A13" s="28" t="s">
        <v>21</v>
      </c>
      <c r="B13" s="27"/>
      <c r="C13" s="27"/>
      <c r="D13" s="15"/>
      <c r="E13" s="15"/>
      <c r="F13" s="15"/>
      <c r="G13" s="17">
        <f>SUBTOTAL(109,機器_2[列7])</f>
        <v>17323136</v>
      </c>
      <c r="H13" s="37" t="s">
        <v>132</v>
      </c>
      <c r="I13" s="60">
        <f>機器_2[[#Totals],[列7]]/H3</f>
        <v>0.41343999999999997</v>
      </c>
    </row>
    <row r="14" spans="1:9" x14ac:dyDescent="0.4">
      <c r="A14" s="26" t="s">
        <v>12</v>
      </c>
      <c r="B14" s="27"/>
      <c r="C14" s="27"/>
      <c r="D14" s="15"/>
      <c r="E14" s="15"/>
      <c r="F14" s="16"/>
      <c r="G14" s="17">
        <f>フリーザー14[[#This Row],[列4]]*フリーザー14[[#This Row],[列6]]</f>
        <v>0</v>
      </c>
      <c r="H14" s="18"/>
      <c r="I14" s="58"/>
    </row>
    <row r="15" spans="1:9" x14ac:dyDescent="0.4">
      <c r="A15" s="27"/>
      <c r="B15" s="27"/>
      <c r="C15" s="27"/>
      <c r="D15" s="15"/>
      <c r="E15" s="15"/>
      <c r="F15" s="16"/>
      <c r="G15" s="17">
        <f>フリーザー14[[#This Row],[列4]]*フリーザー14[[#This Row],[列6]]</f>
        <v>0</v>
      </c>
      <c r="H15" s="18"/>
      <c r="I15" s="58"/>
    </row>
    <row r="16" spans="1:9" x14ac:dyDescent="0.4">
      <c r="A16" s="27"/>
      <c r="B16" s="27"/>
      <c r="C16" s="27"/>
      <c r="D16" s="15"/>
      <c r="E16" s="15"/>
      <c r="F16" s="16"/>
      <c r="G16" s="17">
        <f>フリーザー14[[#This Row],[列4]]*フリーザー14[[#This Row],[列6]]</f>
        <v>0</v>
      </c>
      <c r="H16" s="18"/>
      <c r="I16" s="58"/>
    </row>
    <row r="17" spans="1:9" x14ac:dyDescent="0.4">
      <c r="A17" s="28" t="s">
        <v>21</v>
      </c>
      <c r="B17" s="27"/>
      <c r="C17" s="27"/>
      <c r="D17" s="15"/>
      <c r="E17" s="15"/>
      <c r="F17" s="15"/>
      <c r="G17" s="17">
        <f>SUBTOTAL(109,フリーザー14[列7])</f>
        <v>0</v>
      </c>
      <c r="H17" s="21" t="s">
        <v>39</v>
      </c>
      <c r="I17" s="58"/>
    </row>
    <row r="18" spans="1:9" x14ac:dyDescent="0.4">
      <c r="A18" s="27" t="s">
        <v>16</v>
      </c>
      <c r="B18" s="27"/>
      <c r="C18" s="27"/>
      <c r="D18" s="38"/>
      <c r="E18" s="17"/>
      <c r="F18" s="16"/>
      <c r="G18" s="35">
        <f>建築工事15[[#This Row],[列4]]*建築工事15[[#This Row],[列6]]</f>
        <v>0</v>
      </c>
      <c r="H18" s="18"/>
      <c r="I18" s="58"/>
    </row>
    <row r="19" spans="1:9" x14ac:dyDescent="0.4">
      <c r="A19" s="27"/>
      <c r="B19" s="27"/>
      <c r="C19" s="27"/>
      <c r="D19" s="38"/>
      <c r="E19" s="17"/>
      <c r="F19" s="16"/>
      <c r="G19" s="17">
        <f>建築工事15[[#This Row],[列4]]*建築工事15[[#This Row],[列6]]</f>
        <v>0</v>
      </c>
      <c r="H19" s="18"/>
      <c r="I19" s="58"/>
    </row>
    <row r="20" spans="1:9" x14ac:dyDescent="0.4">
      <c r="A20" s="27"/>
      <c r="B20" s="27"/>
      <c r="C20" s="27"/>
      <c r="D20" s="17"/>
      <c r="E20" s="17"/>
      <c r="F20" s="16"/>
      <c r="G20" s="17">
        <f>建築工事15[[#This Row],[列4]]*建築工事15[[#This Row],[列6]]</f>
        <v>0</v>
      </c>
      <c r="H20" s="18"/>
      <c r="I20" s="58"/>
    </row>
    <row r="21" spans="1:9" x14ac:dyDescent="0.4">
      <c r="A21" s="28" t="s">
        <v>21</v>
      </c>
      <c r="B21" s="27"/>
      <c r="C21" s="27"/>
      <c r="D21" s="15"/>
      <c r="E21" s="15"/>
      <c r="F21" s="15"/>
      <c r="G21" s="17">
        <f>SUBTOTAL(109,建築工事15[列7])</f>
        <v>0</v>
      </c>
      <c r="H21" s="36" t="s">
        <v>39</v>
      </c>
      <c r="I21" s="60">
        <f>建築工事15[[#Totals],[列7]]/$H$3</f>
        <v>0</v>
      </c>
    </row>
    <row r="22" spans="1:9" x14ac:dyDescent="0.4">
      <c r="A22" s="27" t="s">
        <v>17</v>
      </c>
      <c r="B22" s="27" t="s">
        <v>68</v>
      </c>
      <c r="C22" s="27"/>
      <c r="D22" s="22">
        <v>1</v>
      </c>
      <c r="E22" s="22" t="s">
        <v>36</v>
      </c>
      <c r="F22" s="22">
        <v>3000000</v>
      </c>
      <c r="G22" s="23">
        <f>電気工事16[[#This Row],[列4]]*電気工事16[[#This Row],[列6]]</f>
        <v>3000000</v>
      </c>
      <c r="H22" s="18"/>
      <c r="I22" s="58"/>
    </row>
    <row r="23" spans="1:9" x14ac:dyDescent="0.4">
      <c r="A23" s="27"/>
      <c r="B23" s="27" t="s">
        <v>106</v>
      </c>
      <c r="C23" s="27" t="s">
        <v>111</v>
      </c>
      <c r="D23" s="22">
        <v>0</v>
      </c>
      <c r="E23" s="22" t="s">
        <v>107</v>
      </c>
      <c r="F23" s="22">
        <v>2500000</v>
      </c>
      <c r="G23" s="23">
        <f>電気工事16[[#This Row],[列4]]*電気工事16[[#This Row],[列6]]</f>
        <v>0</v>
      </c>
      <c r="H23" s="18"/>
      <c r="I23" s="58"/>
    </row>
    <row r="24" spans="1:9" x14ac:dyDescent="0.4">
      <c r="A24" s="27"/>
      <c r="B24" s="27"/>
      <c r="C24" s="27"/>
      <c r="D24" s="15"/>
      <c r="E24" s="15"/>
      <c r="F24" s="22"/>
      <c r="G24" s="44">
        <f>電気工事16[[#This Row],[列4]]*電気工事16[[#This Row],[列6]]</f>
        <v>0</v>
      </c>
      <c r="H24" s="18"/>
      <c r="I24" s="58"/>
    </row>
    <row r="25" spans="1:9" x14ac:dyDescent="0.4">
      <c r="A25" s="28" t="s">
        <v>21</v>
      </c>
      <c r="B25" s="27"/>
      <c r="C25" s="27"/>
      <c r="D25" s="15"/>
      <c r="E25" s="15"/>
      <c r="F25" s="15"/>
      <c r="G25" s="18">
        <f>SUBTOTAL(109,電気工事16[列7])</f>
        <v>3000000</v>
      </c>
      <c r="H25" s="36" t="s">
        <v>110</v>
      </c>
      <c r="I25" s="60">
        <f>電気工事16[[#Totals],[列7]]/H3</f>
        <v>7.1599045346062054E-2</v>
      </c>
    </row>
    <row r="26" spans="1:9" x14ac:dyDescent="0.4">
      <c r="A26" s="27" t="s">
        <v>13</v>
      </c>
      <c r="B26" s="27" t="s">
        <v>58</v>
      </c>
      <c r="C26" s="27" t="s">
        <v>97</v>
      </c>
      <c r="D26" s="43">
        <v>18</v>
      </c>
      <c r="E26" s="15" t="s">
        <v>57</v>
      </c>
      <c r="F26" s="22">
        <f>10092*1.2</f>
        <v>12110.4</v>
      </c>
      <c r="G26" s="17">
        <f>設備工事17[[#This Row],[列4]]*設備工事17[[#This Row],[列6]]</f>
        <v>217987.19999999998</v>
      </c>
      <c r="H26" s="18"/>
      <c r="I26" s="58" t="s">
        <v>113</v>
      </c>
    </row>
    <row r="27" spans="1:9" x14ac:dyDescent="0.4">
      <c r="A27" s="27"/>
      <c r="B27" s="27" t="s">
        <v>56</v>
      </c>
      <c r="C27" s="27" t="s">
        <v>60</v>
      </c>
      <c r="D27" s="43">
        <v>18</v>
      </c>
      <c r="E27" s="15" t="s">
        <v>57</v>
      </c>
      <c r="F27" s="22">
        <v>6210</v>
      </c>
      <c r="G27" s="17">
        <f>設備工事17[[#This Row],[列4]]*設備工事17[[#This Row],[列6]]</f>
        <v>111780</v>
      </c>
      <c r="H27" s="18"/>
      <c r="I27" s="58" t="s">
        <v>113</v>
      </c>
    </row>
    <row r="28" spans="1:9" x14ac:dyDescent="0.4">
      <c r="A28" s="27"/>
      <c r="B28" s="27" t="s">
        <v>59</v>
      </c>
      <c r="C28" s="27" t="s">
        <v>98</v>
      </c>
      <c r="D28" s="43">
        <v>2</v>
      </c>
      <c r="E28" s="15" t="s">
        <v>57</v>
      </c>
      <c r="F28" s="22">
        <v>12500</v>
      </c>
      <c r="G28" s="17">
        <f>設備工事17[[#This Row],[列4]]*設備工事17[[#This Row],[列6]]</f>
        <v>25000</v>
      </c>
      <c r="H28" s="18"/>
      <c r="I28" s="58" t="s">
        <v>114</v>
      </c>
    </row>
    <row r="29" spans="1:9" x14ac:dyDescent="0.4">
      <c r="A29" s="27"/>
      <c r="B29" s="27" t="s">
        <v>59</v>
      </c>
      <c r="C29" s="27" t="s">
        <v>99</v>
      </c>
      <c r="D29" s="43">
        <v>4</v>
      </c>
      <c r="E29" s="15" t="s">
        <v>57</v>
      </c>
      <c r="F29" s="22">
        <v>1798</v>
      </c>
      <c r="G29" s="17">
        <f>設備工事17[[#This Row],[列4]]*設備工事17[[#This Row],[列6]]</f>
        <v>7192</v>
      </c>
      <c r="H29" s="18"/>
      <c r="I29" s="58" t="s">
        <v>115</v>
      </c>
    </row>
    <row r="30" spans="1:9" x14ac:dyDescent="0.4">
      <c r="A30" s="27"/>
      <c r="B30" s="27" t="s">
        <v>62</v>
      </c>
      <c r="C30" s="27" t="s">
        <v>63</v>
      </c>
      <c r="D30" s="43">
        <v>1</v>
      </c>
      <c r="E30" s="15" t="s">
        <v>36</v>
      </c>
      <c r="F30" s="22">
        <f>SUM(G26:G29)*0.1</f>
        <v>36195.919999999998</v>
      </c>
      <c r="G30" s="17">
        <f>設備工事17[[#This Row],[列4]]*設備工事17[[#This Row],[列6]]</f>
        <v>36195.919999999998</v>
      </c>
      <c r="H30" s="18"/>
      <c r="I30" s="58"/>
    </row>
    <row r="31" spans="1:9" x14ac:dyDescent="0.4">
      <c r="A31" s="27"/>
      <c r="B31" s="27" t="s">
        <v>61</v>
      </c>
      <c r="C31" s="27" t="s">
        <v>64</v>
      </c>
      <c r="D31" s="43">
        <v>1</v>
      </c>
      <c r="E31" s="15" t="s">
        <v>36</v>
      </c>
      <c r="F31" s="22">
        <f>SUM(G26:G29)</f>
        <v>361959.19999999995</v>
      </c>
      <c r="G31" s="17">
        <f>設備工事17[[#This Row],[列4]]*設備工事17[[#This Row],[列6]]</f>
        <v>361959.19999999995</v>
      </c>
      <c r="H31" s="18"/>
      <c r="I31" s="58"/>
    </row>
    <row r="32" spans="1:9" x14ac:dyDescent="0.4">
      <c r="A32" s="27"/>
      <c r="B32" s="27" t="s">
        <v>84</v>
      </c>
      <c r="C32" s="27" t="s">
        <v>85</v>
      </c>
      <c r="D32" s="43">
        <v>1</v>
      </c>
      <c r="E32" s="15" t="s">
        <v>36</v>
      </c>
      <c r="F32" s="22">
        <f>SUM(G26:G29)*1.5</f>
        <v>542938.79999999993</v>
      </c>
      <c r="G32" s="17">
        <f>設備工事17[[#This Row],[列4]]*設備工事17[[#This Row],[列6]]</f>
        <v>542938.79999999993</v>
      </c>
      <c r="H32" s="18"/>
      <c r="I32" s="58"/>
    </row>
    <row r="33" spans="1:9" x14ac:dyDescent="0.4">
      <c r="A33" s="27"/>
      <c r="B33" s="27" t="s">
        <v>65</v>
      </c>
      <c r="C33" s="27" t="s">
        <v>66</v>
      </c>
      <c r="D33" s="43">
        <v>1</v>
      </c>
      <c r="E33" s="15" t="s">
        <v>36</v>
      </c>
      <c r="F33" s="22">
        <f>SUM(G26:G29)*0.3</f>
        <v>108587.75999999998</v>
      </c>
      <c r="G33" s="17">
        <f>設備工事17[[#This Row],[列4]]*設備工事17[[#This Row],[列6]]</f>
        <v>108587.75999999998</v>
      </c>
      <c r="H33" s="18"/>
      <c r="I33" s="58"/>
    </row>
    <row r="34" spans="1:9" x14ac:dyDescent="0.4">
      <c r="A34" s="27"/>
      <c r="B34" s="27" t="s">
        <v>3</v>
      </c>
      <c r="C34" s="27" t="s">
        <v>67</v>
      </c>
      <c r="D34" s="43">
        <v>28</v>
      </c>
      <c r="E34" s="15" t="s">
        <v>44</v>
      </c>
      <c r="F34" s="22">
        <v>42000</v>
      </c>
      <c r="G34" s="17">
        <f>設備工事17[[#This Row],[列4]]*設備工事17[[#This Row],[列6]]</f>
        <v>1176000</v>
      </c>
      <c r="H34" s="18"/>
      <c r="I34" s="58"/>
    </row>
    <row r="35" spans="1:9" x14ac:dyDescent="0.4">
      <c r="A35" s="27"/>
      <c r="B35" s="27" t="s">
        <v>87</v>
      </c>
      <c r="C35" s="27" t="s">
        <v>117</v>
      </c>
      <c r="D35" s="43">
        <v>40</v>
      </c>
      <c r="E35" s="15" t="s">
        <v>88</v>
      </c>
      <c r="F35" s="22">
        <v>8642</v>
      </c>
      <c r="G35" s="17">
        <f>設備工事17[[#This Row],[列4]]*設備工事17[[#This Row],[列6]]</f>
        <v>345680</v>
      </c>
      <c r="H35" s="18"/>
      <c r="I35" s="58" t="s">
        <v>116</v>
      </c>
    </row>
    <row r="36" spans="1:9" x14ac:dyDescent="0.4">
      <c r="A36" s="27"/>
      <c r="B36" s="27"/>
      <c r="C36" s="27" t="s">
        <v>118</v>
      </c>
      <c r="D36" s="43">
        <v>20</v>
      </c>
      <c r="E36" s="15" t="s">
        <v>88</v>
      </c>
      <c r="F36" s="22">
        <f>8642*1.4</f>
        <v>12098.8</v>
      </c>
      <c r="G36" s="17">
        <f>設備工事17[[#This Row],[列4]]*設備工事17[[#This Row],[列6]]</f>
        <v>241976</v>
      </c>
      <c r="H36" s="18"/>
      <c r="I36" s="58" t="s">
        <v>125</v>
      </c>
    </row>
    <row r="37" spans="1:9" x14ac:dyDescent="0.4">
      <c r="A37" s="27"/>
      <c r="B37" s="27"/>
      <c r="C37" s="27" t="s">
        <v>123</v>
      </c>
      <c r="D37" s="43">
        <v>10</v>
      </c>
      <c r="E37" s="15" t="s">
        <v>90</v>
      </c>
      <c r="F37" s="22">
        <f>8642*0.7</f>
        <v>6049.4</v>
      </c>
      <c r="G37" s="17">
        <f>設備工事17[[#This Row],[列4]]*設備工事17[[#This Row],[列6]]</f>
        <v>60494</v>
      </c>
      <c r="H37" s="18"/>
      <c r="I37" s="58" t="s">
        <v>126</v>
      </c>
    </row>
    <row r="38" spans="1:9" x14ac:dyDescent="0.4">
      <c r="A38" s="27"/>
      <c r="B38" s="27" t="s">
        <v>89</v>
      </c>
      <c r="C38" s="27" t="s">
        <v>119</v>
      </c>
      <c r="D38" s="43">
        <v>40</v>
      </c>
      <c r="E38" s="15" t="s">
        <v>88</v>
      </c>
      <c r="F38" s="22">
        <v>3019</v>
      </c>
      <c r="G38" s="17">
        <f>設備工事17[[#This Row],[列4]]*設備工事17[[#This Row],[列6]]</f>
        <v>120760</v>
      </c>
      <c r="H38" s="18"/>
      <c r="I38" s="58" t="s">
        <v>116</v>
      </c>
    </row>
    <row r="39" spans="1:9" x14ac:dyDescent="0.4">
      <c r="A39" s="27"/>
      <c r="B39" s="27"/>
      <c r="C39" s="27" t="s">
        <v>120</v>
      </c>
      <c r="D39" s="43">
        <v>20</v>
      </c>
      <c r="E39" s="15" t="s">
        <v>88</v>
      </c>
      <c r="F39" s="22">
        <f>3019*1.4</f>
        <v>4226.5999999999995</v>
      </c>
      <c r="G39" s="17">
        <f>設備工事17[[#This Row],[列4]]*設備工事17[[#This Row],[列6]]</f>
        <v>84531.999999999985</v>
      </c>
      <c r="H39" s="18"/>
      <c r="I39" s="58" t="s">
        <v>125</v>
      </c>
    </row>
    <row r="40" spans="1:9" x14ac:dyDescent="0.4">
      <c r="A40" s="27"/>
      <c r="B40" s="27"/>
      <c r="C40" s="27" t="s">
        <v>124</v>
      </c>
      <c r="D40" s="43">
        <v>10</v>
      </c>
      <c r="E40" s="15" t="s">
        <v>90</v>
      </c>
      <c r="F40" s="22">
        <f>3019*0.7</f>
        <v>2113.2999999999997</v>
      </c>
      <c r="G40" s="17">
        <f>設備工事17[[#This Row],[列4]]*設備工事17[[#This Row],[列6]]</f>
        <v>21132.999999999996</v>
      </c>
      <c r="H40" s="18"/>
      <c r="I40" s="58" t="s">
        <v>126</v>
      </c>
    </row>
    <row r="41" spans="1:9" x14ac:dyDescent="0.4">
      <c r="A41" s="27"/>
      <c r="B41" s="27" t="s">
        <v>100</v>
      </c>
      <c r="C41" s="27" t="s">
        <v>121</v>
      </c>
      <c r="D41" s="43">
        <v>6</v>
      </c>
      <c r="E41" s="15" t="s">
        <v>88</v>
      </c>
      <c r="F41" s="22">
        <v>10500</v>
      </c>
      <c r="G41" s="17">
        <f>設備工事17[[#This Row],[列4]]*設備工事17[[#This Row],[列6]]</f>
        <v>63000</v>
      </c>
      <c r="H41" s="18"/>
      <c r="I41" s="58" t="s">
        <v>116</v>
      </c>
    </row>
    <row r="42" spans="1:9" x14ac:dyDescent="0.4">
      <c r="A42" s="27"/>
      <c r="B42" s="27"/>
      <c r="C42" s="27" t="s">
        <v>122</v>
      </c>
      <c r="D42" s="43">
        <v>6</v>
      </c>
      <c r="E42" s="15" t="s">
        <v>90</v>
      </c>
      <c r="F42" s="22">
        <v>5700</v>
      </c>
      <c r="G42" s="17">
        <f>設備工事17[[#This Row],[列4]]*設備工事17[[#This Row],[列6]]</f>
        <v>34200</v>
      </c>
      <c r="H42" s="18"/>
      <c r="I42" s="58"/>
    </row>
    <row r="43" spans="1:9" x14ac:dyDescent="0.4">
      <c r="A43" s="27"/>
      <c r="B43" s="27" t="s">
        <v>91</v>
      </c>
      <c r="C43" s="27" t="s">
        <v>92</v>
      </c>
      <c r="D43" s="43">
        <v>6</v>
      </c>
      <c r="E43" s="15" t="s">
        <v>93</v>
      </c>
      <c r="F43" s="22">
        <v>40000</v>
      </c>
      <c r="G43" s="17">
        <f>設備工事17[[#This Row],[列4]]*設備工事17[[#This Row],[列6]]</f>
        <v>240000</v>
      </c>
      <c r="H43" s="18"/>
      <c r="I43" s="58"/>
    </row>
    <row r="44" spans="1:9" x14ac:dyDescent="0.4">
      <c r="A44" s="27"/>
      <c r="B44" s="27"/>
      <c r="C44" s="27"/>
      <c r="D44" s="43"/>
      <c r="E44" s="15"/>
      <c r="F44" s="22"/>
      <c r="G44" s="17">
        <f>設備工事17[[#This Row],[列4]]*設備工事17[[#This Row],[列6]]</f>
        <v>0</v>
      </c>
      <c r="H44" s="18"/>
      <c r="I44" s="58"/>
    </row>
    <row r="45" spans="1:9" x14ac:dyDescent="0.4">
      <c r="A45" s="28" t="s">
        <v>21</v>
      </c>
      <c r="B45" s="27"/>
      <c r="C45" s="27"/>
      <c r="D45" s="15"/>
      <c r="E45" s="15"/>
      <c r="F45" s="15"/>
      <c r="G45" s="17">
        <f>SUBTOTAL(109,設備工事17[列7])</f>
        <v>3799415.88</v>
      </c>
      <c r="H45" s="39" t="s">
        <v>41</v>
      </c>
      <c r="I45" s="60">
        <f>設備工事17[[#Totals],[列7]]/H3</f>
        <v>9.0678183293556078E-2</v>
      </c>
    </row>
    <row r="46" spans="1:9" x14ac:dyDescent="0.4">
      <c r="A46" s="27" t="s">
        <v>14</v>
      </c>
      <c r="B46" s="27" t="s">
        <v>47</v>
      </c>
      <c r="C46" s="27" t="s">
        <v>51</v>
      </c>
      <c r="D46" s="43">
        <v>13</v>
      </c>
      <c r="E46" s="15" t="s">
        <v>44</v>
      </c>
      <c r="F46" s="22">
        <v>55000</v>
      </c>
      <c r="G46" s="17">
        <f>重量・運搬工事18[[#This Row],[列4]]*重量・運搬工事18[[#This Row],[列6]]</f>
        <v>715000</v>
      </c>
      <c r="H46" s="18"/>
      <c r="I46" s="58"/>
    </row>
    <row r="47" spans="1:9" x14ac:dyDescent="0.4">
      <c r="A47" s="27"/>
      <c r="B47" s="27" t="s">
        <v>48</v>
      </c>
      <c r="C47" s="27" t="s">
        <v>49</v>
      </c>
      <c r="D47" s="43">
        <v>2</v>
      </c>
      <c r="E47" s="15" t="s">
        <v>50</v>
      </c>
      <c r="F47" s="22">
        <v>125000</v>
      </c>
      <c r="G47" s="17">
        <f>重量・運搬工事18[[#This Row],[列4]]*重量・運搬工事18[[#This Row],[列6]]</f>
        <v>250000</v>
      </c>
      <c r="H47" s="18"/>
      <c r="I47" s="58"/>
    </row>
    <row r="48" spans="1:9" x14ac:dyDescent="0.4">
      <c r="A48" s="27"/>
      <c r="B48" s="27" t="s">
        <v>45</v>
      </c>
      <c r="C48" s="27" t="s">
        <v>101</v>
      </c>
      <c r="D48" s="43">
        <v>0</v>
      </c>
      <c r="E48" s="15" t="s">
        <v>46</v>
      </c>
      <c r="F48" s="22">
        <v>12000</v>
      </c>
      <c r="G48" s="17">
        <f>重量・運搬工事18[[#This Row],[列4]]*重量・運搬工事18[[#This Row],[列6]]</f>
        <v>0</v>
      </c>
      <c r="H48" s="18"/>
      <c r="I48" s="58"/>
    </row>
    <row r="49" spans="1:9" x14ac:dyDescent="0.4">
      <c r="A49" s="27"/>
      <c r="B49" s="27"/>
      <c r="C49" s="27"/>
      <c r="D49" s="43"/>
      <c r="E49" s="15"/>
      <c r="F49" s="22"/>
      <c r="G49" s="17">
        <f>重量・運搬工事18[[#This Row],[列4]]*重量・運搬工事18[[#This Row],[列6]]</f>
        <v>0</v>
      </c>
      <c r="H49" s="18"/>
      <c r="I49" s="58"/>
    </row>
    <row r="50" spans="1:9" x14ac:dyDescent="0.4">
      <c r="A50" s="28" t="s">
        <v>21</v>
      </c>
      <c r="B50" s="27"/>
      <c r="C50" s="27"/>
      <c r="D50" s="15"/>
      <c r="E50" s="15"/>
      <c r="F50" s="15"/>
      <c r="G50" s="17">
        <f>SUBTOTAL(109,重量・運搬工事18[列7])</f>
        <v>965000</v>
      </c>
      <c r="H50" s="39" t="s">
        <v>52</v>
      </c>
      <c r="I50" s="60">
        <f>重量・運搬工事18[[#Totals],[列7]]/H3</f>
        <v>2.3031026252983294E-2</v>
      </c>
    </row>
    <row r="51" spans="1:9" x14ac:dyDescent="0.4">
      <c r="A51" s="27" t="s">
        <v>18</v>
      </c>
      <c r="B51" s="27" t="s">
        <v>29</v>
      </c>
      <c r="C51" s="27" t="s">
        <v>31</v>
      </c>
      <c r="D51" s="38">
        <f>2*(7.45*3+5.4*3)</f>
        <v>77.100000000000009</v>
      </c>
      <c r="E51" s="17" t="s">
        <v>30</v>
      </c>
      <c r="F51" s="16">
        <v>26200</v>
      </c>
      <c r="G51" s="45">
        <f>熱絶縁工事19[[#This Row],[列4]]*熱絶縁工事19[[#This Row],[列6]]</f>
        <v>2020020.0000000002</v>
      </c>
      <c r="H51" s="18"/>
      <c r="I51" s="58"/>
    </row>
    <row r="52" spans="1:9" x14ac:dyDescent="0.4">
      <c r="A52" s="27"/>
      <c r="B52" s="27" t="s">
        <v>32</v>
      </c>
      <c r="C52" s="27" t="s">
        <v>31</v>
      </c>
      <c r="D52" s="38">
        <f>7.45*5.4</f>
        <v>40.230000000000004</v>
      </c>
      <c r="E52" s="17" t="s">
        <v>30</v>
      </c>
      <c r="F52" s="16">
        <v>26200</v>
      </c>
      <c r="G52" s="45">
        <f>熱絶縁工事19[[#This Row],[列4]]*熱絶縁工事19[[#This Row],[列6]]</f>
        <v>1054026</v>
      </c>
      <c r="H52" s="18"/>
      <c r="I52" s="58"/>
    </row>
    <row r="53" spans="1:9" x14ac:dyDescent="0.4">
      <c r="A53" s="27"/>
      <c r="B53" s="27" t="s">
        <v>33</v>
      </c>
      <c r="C53" s="27" t="s">
        <v>31</v>
      </c>
      <c r="D53" s="38">
        <f>7.45*5.4</f>
        <v>40.230000000000004</v>
      </c>
      <c r="E53" s="17" t="s">
        <v>30</v>
      </c>
      <c r="F53" s="16">
        <v>26200</v>
      </c>
      <c r="G53" s="45">
        <f>熱絶縁工事19[[#This Row],[列4]]*熱絶縁工事19[[#This Row],[列6]]</f>
        <v>1054026</v>
      </c>
      <c r="H53" s="18"/>
      <c r="I53" s="58"/>
    </row>
    <row r="54" spans="1:9" x14ac:dyDescent="0.4">
      <c r="A54" s="27"/>
      <c r="B54" s="27" t="s">
        <v>34</v>
      </c>
      <c r="C54" s="27" t="s">
        <v>35</v>
      </c>
      <c r="D54" s="17">
        <v>1</v>
      </c>
      <c r="E54" s="17" t="s">
        <v>36</v>
      </c>
      <c r="F54" s="16">
        <f>SUM(G51:G53)*47/53</f>
        <v>3660743.0943396227</v>
      </c>
      <c r="G54" s="45">
        <f>熱絶縁工事19[[#This Row],[列4]]*熱絶縁工事19[[#This Row],[列6]]</f>
        <v>3660743.0943396227</v>
      </c>
      <c r="H54" s="18"/>
      <c r="I54" s="58"/>
    </row>
    <row r="55" spans="1:9" x14ac:dyDescent="0.4">
      <c r="A55" s="27"/>
      <c r="B55" s="27" t="s">
        <v>37</v>
      </c>
      <c r="C55" s="27" t="s">
        <v>38</v>
      </c>
      <c r="D55" s="17">
        <v>1</v>
      </c>
      <c r="E55" s="17" t="s">
        <v>36</v>
      </c>
      <c r="F55" s="16">
        <f>SUM(G51:G54)*0.45*0.75</f>
        <v>2628725.0943396222</v>
      </c>
      <c r="G55" s="17">
        <f>熱絶縁工事19[[#This Row],[列4]]*熱絶縁工事19[[#This Row],[列6]]</f>
        <v>2628725.0943396222</v>
      </c>
      <c r="H55" s="18"/>
      <c r="I55" s="58"/>
    </row>
    <row r="56" spans="1:9" x14ac:dyDescent="0.4">
      <c r="A56" s="27"/>
      <c r="B56" s="27" t="s">
        <v>102</v>
      </c>
      <c r="C56" s="27" t="s">
        <v>43</v>
      </c>
      <c r="D56" s="38">
        <f>7.45*5.4*0.07*0.9</f>
        <v>2.5344900000000004</v>
      </c>
      <c r="E56" s="17" t="s">
        <v>42</v>
      </c>
      <c r="F56" s="16">
        <v>430000</v>
      </c>
      <c r="G56" s="17">
        <f>熱絶縁工事19[[#This Row],[列4]]*熱絶縁工事19[[#This Row],[列6]]</f>
        <v>1089830.7000000002</v>
      </c>
      <c r="H56" s="18"/>
      <c r="I56" s="58"/>
    </row>
    <row r="57" spans="1:9" x14ac:dyDescent="0.4">
      <c r="A57" s="27"/>
      <c r="B57" s="27"/>
      <c r="C57" s="27"/>
      <c r="D57" s="15"/>
      <c r="E57" s="15"/>
      <c r="F57" s="22"/>
      <c r="G57" s="17">
        <f>熱絶縁工事19[[#This Row],[列4]]*熱絶縁工事19[[#This Row],[列6]]</f>
        <v>0</v>
      </c>
      <c r="H57" s="18"/>
      <c r="I57" s="58"/>
    </row>
    <row r="58" spans="1:9" x14ac:dyDescent="0.4">
      <c r="A58" s="28" t="s">
        <v>21</v>
      </c>
      <c r="B58" s="27"/>
      <c r="C58" s="27"/>
      <c r="D58" s="15"/>
      <c r="E58" s="15"/>
      <c r="F58" s="15"/>
      <c r="G58" s="17">
        <f>SUM(G55:G56)</f>
        <v>3718555.7943396224</v>
      </c>
      <c r="H58" s="42" t="s">
        <v>69</v>
      </c>
      <c r="I58" s="60">
        <f>熱絶縁工事19[[#Totals],[列7]]/H3</f>
        <v>8.8748348313594808E-2</v>
      </c>
    </row>
    <row r="59" spans="1:9" x14ac:dyDescent="0.4">
      <c r="A59" s="27" t="s">
        <v>0</v>
      </c>
      <c r="B59" s="27"/>
      <c r="C59" s="27"/>
      <c r="D59" s="24"/>
      <c r="E59" s="25"/>
      <c r="F59" s="22"/>
      <c r="G59" s="41">
        <f>仮設工事20[[#This Row],[列4]]*仮設工事20[[#This Row],[列6]]</f>
        <v>0</v>
      </c>
      <c r="H59" s="18"/>
      <c r="I59" s="58"/>
    </row>
    <row r="60" spans="1:9" x14ac:dyDescent="0.4">
      <c r="A60" s="27"/>
      <c r="B60" s="27"/>
      <c r="C60" s="27"/>
      <c r="D60" s="15"/>
      <c r="E60" s="15"/>
      <c r="F60" s="22"/>
      <c r="G60" s="43">
        <f>仮設工事20[[#This Row],[列4]]*仮設工事20[[#This Row],[列6]]</f>
        <v>0</v>
      </c>
      <c r="H60" s="18"/>
      <c r="I60" s="58"/>
    </row>
    <row r="61" spans="1:9" x14ac:dyDescent="0.4">
      <c r="A61" s="27"/>
      <c r="B61" s="27"/>
      <c r="C61" s="27"/>
      <c r="D61" s="15"/>
      <c r="E61" s="15"/>
      <c r="F61" s="22"/>
      <c r="G61" s="43">
        <f>仮設工事20[[#This Row],[列4]]*仮設工事20[[#This Row],[列6]]</f>
        <v>0</v>
      </c>
      <c r="H61" s="18"/>
      <c r="I61" s="58"/>
    </row>
    <row r="62" spans="1:9" x14ac:dyDescent="0.4">
      <c r="A62" s="28" t="s">
        <v>21</v>
      </c>
      <c r="B62" s="27"/>
      <c r="C62" s="27"/>
      <c r="D62" s="15"/>
      <c r="E62" s="15"/>
      <c r="F62" s="15"/>
      <c r="G62" s="17">
        <f>SUBTOTAL(109,仮設工事20[列7])</f>
        <v>0</v>
      </c>
      <c r="H62" s="18" t="s">
        <v>73</v>
      </c>
      <c r="I62" s="60">
        <f>仮設工事20[[#Totals],[列7]]/H3</f>
        <v>0</v>
      </c>
    </row>
    <row r="63" spans="1:9" x14ac:dyDescent="0.4">
      <c r="A63" s="27" t="s">
        <v>19</v>
      </c>
      <c r="B63" s="27" t="s">
        <v>80</v>
      </c>
      <c r="C63" s="27" t="s">
        <v>81</v>
      </c>
      <c r="D63" s="40">
        <v>1</v>
      </c>
      <c r="E63" s="25" t="s">
        <v>36</v>
      </c>
      <c r="F63" s="22">
        <v>500000</v>
      </c>
      <c r="G63" s="23">
        <f>リース費21[[#This Row],[列4]]*リース費21[[#This Row],[列6]]</f>
        <v>500000</v>
      </c>
      <c r="H63" s="18"/>
      <c r="I63" s="58"/>
    </row>
    <row r="64" spans="1:9" x14ac:dyDescent="0.4">
      <c r="A64" s="27"/>
      <c r="B64" s="27"/>
      <c r="C64" s="27"/>
      <c r="D64" s="15"/>
      <c r="E64" s="15"/>
      <c r="F64" s="22"/>
      <c r="G64" s="17">
        <f>リース費21[[#This Row],[列4]]*リース費21[[#This Row],[列6]]</f>
        <v>0</v>
      </c>
      <c r="H64" s="18"/>
      <c r="I64" s="58"/>
    </row>
    <row r="65" spans="1:9" x14ac:dyDescent="0.4">
      <c r="A65" s="27"/>
      <c r="B65" s="27"/>
      <c r="C65" s="27"/>
      <c r="D65" s="15"/>
      <c r="E65" s="15"/>
      <c r="F65" s="22"/>
      <c r="G65" s="17">
        <f>リース費21[[#This Row],[列4]]*リース費21[[#This Row],[列6]]</f>
        <v>0</v>
      </c>
      <c r="H65" s="18"/>
      <c r="I65" s="58"/>
    </row>
    <row r="66" spans="1:9" x14ac:dyDescent="0.4">
      <c r="A66" s="28" t="s">
        <v>21</v>
      </c>
      <c r="B66" s="27"/>
      <c r="C66" s="27"/>
      <c r="D66" s="15"/>
      <c r="E66" s="15"/>
      <c r="F66" s="15"/>
      <c r="G66" s="17">
        <f>SUBTOTAL(109,リース費21[列7])</f>
        <v>500000</v>
      </c>
      <c r="H66" s="42" t="s">
        <v>82</v>
      </c>
      <c r="I66" s="60">
        <f>リース費21[[#Totals],[列7]]/H3</f>
        <v>1.1933174224343675E-2</v>
      </c>
    </row>
    <row r="67" spans="1:9" x14ac:dyDescent="0.4">
      <c r="A67" s="27" t="s">
        <v>71</v>
      </c>
      <c r="B67" s="27" t="s">
        <v>72</v>
      </c>
      <c r="C67" s="27" t="s">
        <v>86</v>
      </c>
      <c r="D67" s="24">
        <v>20</v>
      </c>
      <c r="E67" s="25" t="s">
        <v>42</v>
      </c>
      <c r="F67" s="22">
        <v>16500</v>
      </c>
      <c r="G67" s="23">
        <f>現場経費[[#This Row],[列4]]*現場経費[[#This Row],[列6]]</f>
        <v>330000</v>
      </c>
      <c r="H67" s="18"/>
      <c r="I67" s="58"/>
    </row>
    <row r="68" spans="1:9" x14ac:dyDescent="0.4">
      <c r="A68" s="27"/>
      <c r="B68" s="27"/>
      <c r="C68" s="27"/>
      <c r="D68" s="15"/>
      <c r="E68" s="15"/>
      <c r="F68" s="22"/>
      <c r="G68" s="17">
        <f>現場経費[[#This Row],[列4]]*現場経費[[#This Row],[列6]]</f>
        <v>0</v>
      </c>
      <c r="H68" s="18"/>
      <c r="I68" s="58"/>
    </row>
    <row r="69" spans="1:9" x14ac:dyDescent="0.4">
      <c r="A69" s="27"/>
      <c r="B69" s="27"/>
      <c r="C69" s="27"/>
      <c r="D69" s="15"/>
      <c r="E69" s="15"/>
      <c r="F69" s="22"/>
      <c r="G69" s="17">
        <f>現場経費[[#This Row],[列4]]*現場経費[[#This Row],[列6]]</f>
        <v>0</v>
      </c>
      <c r="H69" s="18"/>
      <c r="I69" s="58"/>
    </row>
    <row r="70" spans="1:9" x14ac:dyDescent="0.4">
      <c r="A70" s="28" t="s">
        <v>21</v>
      </c>
      <c r="B70" s="27"/>
      <c r="C70" s="27"/>
      <c r="D70" s="15"/>
      <c r="E70" s="15"/>
      <c r="F70" s="15"/>
      <c r="G70" s="17">
        <f>SUBTOTAL(109,現場経費[列7])</f>
        <v>330000</v>
      </c>
      <c r="H70" s="42" t="s">
        <v>83</v>
      </c>
      <c r="I70" s="58"/>
    </row>
    <row r="71" spans="1:9" x14ac:dyDescent="0.4">
      <c r="A71" s="27" t="s">
        <v>1</v>
      </c>
      <c r="B71" s="27" t="s">
        <v>70</v>
      </c>
      <c r="C71" s="27" t="s">
        <v>79</v>
      </c>
      <c r="D71" s="46">
        <v>1</v>
      </c>
      <c r="E71" s="25" t="s">
        <v>36</v>
      </c>
      <c r="F71" s="22">
        <f>H3*0.01</f>
        <v>419000</v>
      </c>
      <c r="G71" s="23">
        <f>諸経費_22[[#This Row],[列4]]*諸経費_22[[#This Row],[列6]]</f>
        <v>419000</v>
      </c>
      <c r="H71" s="18"/>
      <c r="I71" s="58"/>
    </row>
    <row r="72" spans="1:9" x14ac:dyDescent="0.4">
      <c r="A72" s="27"/>
      <c r="B72" s="27" t="s">
        <v>74</v>
      </c>
      <c r="C72" s="27" t="s">
        <v>75</v>
      </c>
      <c r="D72" s="43">
        <v>1</v>
      </c>
      <c r="E72" s="15" t="s">
        <v>36</v>
      </c>
      <c r="F72" s="22">
        <v>400000</v>
      </c>
      <c r="G72" s="17">
        <f>諸経費_22[[#This Row],[列4]]*諸経費_22[[#This Row],[列6]]</f>
        <v>400000</v>
      </c>
      <c r="H72" s="18"/>
      <c r="I72" s="58"/>
    </row>
    <row r="73" spans="1:9" x14ac:dyDescent="0.4">
      <c r="A73" s="27"/>
      <c r="B73" s="27" t="s">
        <v>76</v>
      </c>
      <c r="C73" s="27"/>
      <c r="D73" s="43">
        <v>1</v>
      </c>
      <c r="E73" s="15" t="s">
        <v>36</v>
      </c>
      <c r="F73" s="22">
        <v>300000</v>
      </c>
      <c r="G73" s="17">
        <f>諸経費_22[[#This Row],[列4]]*諸経費_22[[#This Row],[列6]]</f>
        <v>300000</v>
      </c>
      <c r="H73" s="18"/>
      <c r="I73" s="58"/>
    </row>
    <row r="74" spans="1:9" x14ac:dyDescent="0.4">
      <c r="A74" s="27"/>
      <c r="B74" s="27" t="s">
        <v>77</v>
      </c>
      <c r="C74" s="54" t="s">
        <v>78</v>
      </c>
      <c r="D74" s="43">
        <v>1</v>
      </c>
      <c r="E74" s="15" t="s">
        <v>36</v>
      </c>
      <c r="F74" s="22">
        <f>H3*0.03</f>
        <v>1257000</v>
      </c>
      <c r="G74" s="17">
        <f>諸経費_22[[#This Row],[列4]]*諸経費_22[[#This Row],[列6]]</f>
        <v>1257000</v>
      </c>
      <c r="H74" s="18"/>
      <c r="I74" s="58"/>
    </row>
    <row r="75" spans="1:9" x14ac:dyDescent="0.4">
      <c r="A75" s="27"/>
      <c r="B75" s="27"/>
      <c r="C75" s="27"/>
      <c r="D75" s="15"/>
      <c r="E75" s="15"/>
      <c r="F75" s="22"/>
      <c r="G75" s="17">
        <f>諸経費_22[[#This Row],[列4]]*諸経費_22[[#This Row],[列6]]</f>
        <v>0</v>
      </c>
      <c r="H75" s="18"/>
      <c r="I75" s="58"/>
    </row>
    <row r="76" spans="1:9" x14ac:dyDescent="0.4">
      <c r="A76" s="28" t="s">
        <v>21</v>
      </c>
      <c r="B76" s="27"/>
      <c r="C76" s="27"/>
      <c r="D76" s="15"/>
      <c r="E76" s="15"/>
      <c r="F76" s="15"/>
      <c r="G76" s="17">
        <f>SUBTOTAL(109,諸経費_22[列7])</f>
        <v>2376000</v>
      </c>
      <c r="H76" s="42" t="s">
        <v>103</v>
      </c>
      <c r="I76" s="60">
        <f>諸経費_22[[#Totals],[列7]]/H3</f>
        <v>5.6706443914081146E-2</v>
      </c>
    </row>
    <row r="77" spans="1:9" x14ac:dyDescent="0.4">
      <c r="A77" s="27" t="s">
        <v>20</v>
      </c>
      <c r="B77" s="27" t="s">
        <v>53</v>
      </c>
      <c r="C77" s="27" t="s">
        <v>54</v>
      </c>
      <c r="D77" s="46">
        <v>30</v>
      </c>
      <c r="E77" s="25" t="s">
        <v>44</v>
      </c>
      <c r="F77" s="22">
        <v>55000</v>
      </c>
      <c r="G77" s="23">
        <f>労務費_23[[#This Row],[列4]]*労務費_23[[#This Row],[列6]]</f>
        <v>1650000</v>
      </c>
      <c r="H77" s="18"/>
      <c r="I77" s="58"/>
    </row>
    <row r="78" spans="1:9" x14ac:dyDescent="0.4">
      <c r="A78" s="27"/>
      <c r="B78" s="27" t="s">
        <v>55</v>
      </c>
      <c r="C78" s="27" t="s">
        <v>104</v>
      </c>
      <c r="D78" s="43">
        <v>45</v>
      </c>
      <c r="E78" s="15" t="s">
        <v>44</v>
      </c>
      <c r="F78" s="22">
        <v>55000</v>
      </c>
      <c r="G78" s="17">
        <f>労務費_23[[#This Row],[列4]]*労務費_23[[#This Row],[列6]]</f>
        <v>2475000</v>
      </c>
      <c r="H78" s="18"/>
      <c r="I78" s="58"/>
    </row>
    <row r="79" spans="1:9" x14ac:dyDescent="0.4">
      <c r="A79" s="27"/>
      <c r="B79" s="27"/>
      <c r="C79" s="27"/>
      <c r="D79" s="43"/>
      <c r="E79" s="15"/>
      <c r="F79" s="22"/>
      <c r="G79" s="17"/>
      <c r="H79" s="18"/>
      <c r="I79" s="58"/>
    </row>
    <row r="80" spans="1:9" x14ac:dyDescent="0.4">
      <c r="A80" s="27"/>
      <c r="B80" s="27"/>
      <c r="C80" s="27"/>
      <c r="D80" s="43"/>
      <c r="E80" s="15"/>
      <c r="F80" s="22"/>
      <c r="G80" s="17"/>
      <c r="H80" s="18"/>
      <c r="I80" s="58"/>
    </row>
    <row r="81" spans="1:9" x14ac:dyDescent="0.4">
      <c r="A81" s="28" t="s">
        <v>21</v>
      </c>
      <c r="B81" s="27"/>
      <c r="C81" s="27"/>
      <c r="D81" s="15"/>
      <c r="E81" s="15"/>
      <c r="F81" s="15"/>
      <c r="G81" s="17">
        <f>SUBTOTAL(109,労務費_23[列7])</f>
        <v>4125000</v>
      </c>
      <c r="H81" s="42" t="s">
        <v>105</v>
      </c>
      <c r="I81" s="60">
        <f>労務費_23[[#Totals],[列7]]/H3</f>
        <v>9.8448687350835326E-2</v>
      </c>
    </row>
    <row r="82" spans="1:9" x14ac:dyDescent="0.4">
      <c r="H82" s="14"/>
      <c r="I82" s="59" t="s">
        <v>136</v>
      </c>
    </row>
  </sheetData>
  <phoneticPr fontId="1"/>
  <dataValidations disablePrompts="1" count="1">
    <dataValidation type="list" allowBlank="1" showInputMessage="1" showErrorMessage="1" sqref="E7" xr:uid="{20085BFF-4076-469B-B06C-B0A48D8410DF}">
      <formula1>"個,台,m,㎡,㎥,式"</formula1>
    </dataValidation>
  </dataValidations>
  <pageMargins left="0.23622047244094491" right="0.23622047244094491" top="0.74803149606299213" bottom="0.74803149606299213" header="0.31496062992125984" footer="0.31496062992125984"/>
  <pageSetup paperSize="9" fitToHeight="0" orientation="portrait" r:id="rId1"/>
  <headerFooter>
    <oddHeader>&amp;L&amp;10【社外秘】工事原価表　&amp;R&amp;9更新日： &amp;D  &amp;T</oddHeader>
    <oddFooter>&amp;C&amp;9フードテクノエンジニアリング株式会社&amp;R&amp;9作成者：　0296</oddFooter>
  </headerFooter>
  <legacyDrawing r:id="rId2"/>
  <tableParts count="12">
    <tablePart r:id="rId3"/>
    <tablePart r:id="rId4"/>
    <tablePart r:id="rId5"/>
    <tablePart r:id="rId6"/>
    <tablePart r:id="rId7"/>
    <tablePart r:id="rId8"/>
    <tablePart r:id="rId9"/>
    <tablePart r:id="rId10"/>
    <tablePart r:id="rId11"/>
    <tablePart r:id="rId12"/>
    <tablePart r:id="rId13"/>
    <tablePart r:id="rId1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原本</vt:lpstr>
      <vt:lpstr>ホイップクリーム凍結庫設置工事</vt:lpstr>
      <vt:lpstr>ホイップクリーム凍結庫設置工事!Print_Area</vt:lpstr>
      <vt:lpstr>原本!Print_Area</vt:lpstr>
      <vt:lpstr>ホイップクリーム凍結庫設置工事!Print_Titles</vt:lpstr>
      <vt:lpstr>原本!Print_Titles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0205</dc:creator>
  <cp:lastModifiedBy>高橋京佑</cp:lastModifiedBy>
  <cp:lastPrinted>2026-03-09T02:58:33Z</cp:lastPrinted>
  <dcterms:created xsi:type="dcterms:W3CDTF">2020-06-05T07:23:30Z</dcterms:created>
  <dcterms:modified xsi:type="dcterms:W3CDTF">2026-03-09T03:11:47Z</dcterms:modified>
</cp:coreProperties>
</file>